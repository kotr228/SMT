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ock\Desktop\SMT\СМіП\"/>
    </mc:Choice>
  </mc:AlternateContent>
  <xr:revisionPtr revIDLastSave="0" documentId="13_ncr:1_{D2AB8A6F-D920-410E-9D7B-6DF895646BDD}" xr6:coauthVersionLast="47" xr6:coauthVersionMax="47" xr10:uidLastSave="{00000000-0000-0000-0000-000000000000}"/>
  <bookViews>
    <workbookView xWindow="-98" yWindow="-98" windowWidth="19396" windowHeight="11475" activeTab="5" xr2:uid="{C6454709-9D82-4E43-897D-8CDF4628B8E6}"/>
  </bookViews>
  <sheets>
    <sheet name="ЛР1" sheetId="1" r:id="rId1"/>
    <sheet name="ЛР2" sheetId="2" r:id="rId2"/>
    <sheet name="ЛР3" sheetId="3" r:id="rId3"/>
    <sheet name="ЛР4" sheetId="4" r:id="rId4"/>
    <sheet name="ЛР5" sheetId="5" r:id="rId5"/>
    <sheet name="ЛР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8" i="6" l="1"/>
  <c r="B25" i="6"/>
  <c r="D24" i="6"/>
  <c r="C24" i="6"/>
  <c r="D23" i="6"/>
  <c r="C23" i="6"/>
  <c r="D22" i="6"/>
  <c r="C22" i="6"/>
  <c r="D21" i="6"/>
  <c r="C21" i="6"/>
  <c r="D20" i="6"/>
  <c r="C20" i="6"/>
  <c r="D19" i="6"/>
  <c r="C19" i="6"/>
  <c r="D18" i="6"/>
  <c r="D25" i="6" s="1"/>
  <c r="C18" i="6"/>
  <c r="C25" i="6" s="1"/>
  <c r="B13" i="6"/>
  <c r="B14" i="6" s="1"/>
  <c r="E11" i="6"/>
  <c r="B11" i="6"/>
  <c r="B10" i="6"/>
  <c r="B27" i="6" s="1"/>
  <c r="M9" i="6"/>
  <c r="J9" i="6"/>
  <c r="I9" i="6"/>
  <c r="F9" i="6"/>
  <c r="H9" i="6" s="1"/>
  <c r="L9" i="6" s="1"/>
  <c r="E9" i="6"/>
  <c r="G9" i="6" s="1"/>
  <c r="K9" i="6" s="1"/>
  <c r="D9" i="6"/>
  <c r="C9" i="6"/>
  <c r="M8" i="6"/>
  <c r="I8" i="6"/>
  <c r="G8" i="6"/>
  <c r="K8" i="6" s="1"/>
  <c r="F8" i="6"/>
  <c r="H8" i="6" s="1"/>
  <c r="L8" i="6" s="1"/>
  <c r="E8" i="6"/>
  <c r="D8" i="6"/>
  <c r="C8" i="6"/>
  <c r="M7" i="6"/>
  <c r="F7" i="6"/>
  <c r="J7" i="6" s="1"/>
  <c r="E7" i="6"/>
  <c r="I7" i="6" s="1"/>
  <c r="D7" i="6"/>
  <c r="C7" i="6"/>
  <c r="M6" i="6"/>
  <c r="F6" i="6"/>
  <c r="J6" i="6" s="1"/>
  <c r="E6" i="6"/>
  <c r="I6" i="6" s="1"/>
  <c r="D6" i="6"/>
  <c r="C6" i="6"/>
  <c r="O5" i="6"/>
  <c r="O6" i="6" s="1"/>
  <c r="O7" i="6" s="1"/>
  <c r="O8" i="6" s="1"/>
  <c r="O9" i="6" s="1"/>
  <c r="M5" i="6"/>
  <c r="M10" i="6" s="1"/>
  <c r="M11" i="6" s="1"/>
  <c r="F5" i="6"/>
  <c r="H5" i="6" s="1"/>
  <c r="L5" i="6" s="1"/>
  <c r="E5" i="6"/>
  <c r="I5" i="6" s="1"/>
  <c r="D5" i="6"/>
  <c r="D10" i="6" s="1"/>
  <c r="D11" i="6" s="1"/>
  <c r="C5" i="6"/>
  <c r="C10" i="6" s="1"/>
  <c r="C11" i="6" s="1"/>
  <c r="N4" i="6" s="1"/>
  <c r="O4" i="6"/>
  <c r="M4" i="6"/>
  <c r="L4" i="6"/>
  <c r="J4" i="6"/>
  <c r="H4" i="6"/>
  <c r="F4" i="6"/>
  <c r="E4" i="6"/>
  <c r="I4" i="6" s="1"/>
  <c r="D4" i="6"/>
  <c r="C4" i="6"/>
  <c r="O3" i="6"/>
  <c r="N3" i="6"/>
  <c r="E27" i="5"/>
  <c r="E26" i="5"/>
  <c r="N17" i="5"/>
  <c r="N16" i="5"/>
  <c r="J16" i="5"/>
  <c r="N15" i="5"/>
  <c r="L15" i="5"/>
  <c r="K15" i="5"/>
  <c r="J15" i="5"/>
  <c r="H15" i="5"/>
  <c r="G15" i="5"/>
  <c r="F15" i="5"/>
  <c r="D15" i="5"/>
  <c r="C15" i="5"/>
  <c r="B15" i="5"/>
  <c r="D13" i="5"/>
  <c r="C13" i="5"/>
  <c r="B13" i="5"/>
  <c r="J12" i="5"/>
  <c r="J13" i="5" s="1"/>
  <c r="D12" i="5"/>
  <c r="A15" i="5" s="1"/>
  <c r="C12" i="5"/>
  <c r="J17" i="5" s="1"/>
  <c r="B12" i="5"/>
  <c r="O15" i="5" s="1"/>
  <c r="J9" i="5"/>
  <c r="I9" i="5"/>
  <c r="H9" i="5"/>
  <c r="G9" i="5"/>
  <c r="F9" i="5"/>
  <c r="E9" i="5"/>
  <c r="J8" i="5"/>
  <c r="I8" i="5"/>
  <c r="H8" i="5"/>
  <c r="G8" i="5"/>
  <c r="F8" i="5"/>
  <c r="E8" i="5"/>
  <c r="J7" i="5"/>
  <c r="I7" i="5"/>
  <c r="H7" i="5"/>
  <c r="G7" i="5"/>
  <c r="F7" i="5"/>
  <c r="E7" i="5"/>
  <c r="J6" i="5"/>
  <c r="I6" i="5"/>
  <c r="H6" i="5"/>
  <c r="G6" i="5"/>
  <c r="F6" i="5"/>
  <c r="E6" i="5"/>
  <c r="J5" i="5"/>
  <c r="I5" i="5"/>
  <c r="H5" i="5"/>
  <c r="G5" i="5"/>
  <c r="F5" i="5"/>
  <c r="E5" i="5"/>
  <c r="J4" i="5"/>
  <c r="I4" i="5"/>
  <c r="H4" i="5"/>
  <c r="G4" i="5"/>
  <c r="F4" i="5"/>
  <c r="E4" i="5"/>
  <c r="J3" i="5"/>
  <c r="I3" i="5"/>
  <c r="H3" i="5"/>
  <c r="G3" i="5"/>
  <c r="F3" i="5"/>
  <c r="E3" i="5"/>
  <c r="J2" i="5"/>
  <c r="I2" i="5"/>
  <c r="I12" i="5" s="1"/>
  <c r="I13" i="5" s="1"/>
  <c r="B26" i="5" s="1"/>
  <c r="H2" i="5"/>
  <c r="H12" i="5" s="1"/>
  <c r="G2" i="5"/>
  <c r="G12" i="5" s="1"/>
  <c r="F2" i="5"/>
  <c r="F12" i="5" s="1"/>
  <c r="E2" i="5"/>
  <c r="E12" i="5" s="1"/>
  <c r="P19" i="4"/>
  <c r="P18" i="4"/>
  <c r="P17" i="4"/>
  <c r="M19" i="4"/>
  <c r="M18" i="4"/>
  <c r="M17" i="4"/>
  <c r="M16" i="4"/>
  <c r="L2" i="4" a="1"/>
  <c r="L2" i="4" s="1"/>
  <c r="C10" i="4"/>
  <c r="D10" i="4"/>
  <c r="B10" i="4"/>
  <c r="I3" i="4"/>
  <c r="I4" i="4"/>
  <c r="I5" i="4"/>
  <c r="I6" i="4"/>
  <c r="I7" i="4"/>
  <c r="I8" i="4"/>
  <c r="I9" i="4"/>
  <c r="I2" i="4"/>
  <c r="H3" i="4"/>
  <c r="H4" i="4"/>
  <c r="H5" i="4"/>
  <c r="H6" i="4"/>
  <c r="H7" i="4"/>
  <c r="H8" i="4"/>
  <c r="H9" i="4"/>
  <c r="H2" i="4"/>
  <c r="G3" i="4"/>
  <c r="G4" i="4"/>
  <c r="G5" i="4"/>
  <c r="G6" i="4"/>
  <c r="G7" i="4"/>
  <c r="G8" i="4"/>
  <c r="G9" i="4"/>
  <c r="G2" i="4"/>
  <c r="F3" i="4"/>
  <c r="F4" i="4"/>
  <c r="F5" i="4"/>
  <c r="F6" i="4"/>
  <c r="F7" i="4"/>
  <c r="F8" i="4"/>
  <c r="F9" i="4"/>
  <c r="F2" i="4"/>
  <c r="E3" i="4"/>
  <c r="E4" i="4"/>
  <c r="E5" i="4"/>
  <c r="E6" i="4"/>
  <c r="E7" i="4"/>
  <c r="E8" i="4"/>
  <c r="E9" i="4"/>
  <c r="E2" i="4"/>
  <c r="G11" i="2"/>
  <c r="J16" i="3"/>
  <c r="B16" i="3"/>
  <c r="C12" i="3"/>
  <c r="F16" i="3" s="1"/>
  <c r="B12" i="3"/>
  <c r="G16" i="3" s="1"/>
  <c r="G10" i="3"/>
  <c r="F10" i="3"/>
  <c r="E10" i="3"/>
  <c r="D10" i="3"/>
  <c r="H10" i="3" s="1"/>
  <c r="G9" i="3"/>
  <c r="F9" i="3"/>
  <c r="E9" i="3"/>
  <c r="D9" i="3"/>
  <c r="H9" i="3" s="1"/>
  <c r="G8" i="3"/>
  <c r="F8" i="3"/>
  <c r="E8" i="3"/>
  <c r="D8" i="3"/>
  <c r="H8" i="3" s="1"/>
  <c r="G7" i="3"/>
  <c r="F7" i="3"/>
  <c r="E7" i="3"/>
  <c r="D7" i="3"/>
  <c r="H7" i="3" s="1"/>
  <c r="G6" i="3"/>
  <c r="F6" i="3"/>
  <c r="E6" i="3"/>
  <c r="D6" i="3"/>
  <c r="H6" i="3" s="1"/>
  <c r="G5" i="3"/>
  <c r="F5" i="3"/>
  <c r="E5" i="3"/>
  <c r="D5" i="3"/>
  <c r="H5" i="3" s="1"/>
  <c r="G4" i="3"/>
  <c r="F4" i="3"/>
  <c r="E4" i="3"/>
  <c r="D4" i="3"/>
  <c r="H4" i="3" s="1"/>
  <c r="G3" i="3"/>
  <c r="F3" i="3"/>
  <c r="E3" i="3"/>
  <c r="D3" i="3"/>
  <c r="H3" i="3" s="1"/>
  <c r="G2" i="3"/>
  <c r="F2" i="3"/>
  <c r="E2" i="3"/>
  <c r="D2" i="3"/>
  <c r="H2" i="3" s="1"/>
  <c r="L3" i="2"/>
  <c r="L4" i="2" s="1"/>
  <c r="L6" i="2"/>
  <c r="L2" i="2"/>
  <c r="J8" i="2"/>
  <c r="J7" i="2"/>
  <c r="J6" i="2"/>
  <c r="J5" i="2"/>
  <c r="H3" i="2"/>
  <c r="H4" i="2"/>
  <c r="H5" i="2"/>
  <c r="H6" i="2"/>
  <c r="H7" i="2"/>
  <c r="H8" i="2"/>
  <c r="H9" i="2"/>
  <c r="H10" i="2"/>
  <c r="H2" i="2"/>
  <c r="G3" i="2"/>
  <c r="G4" i="2"/>
  <c r="G5" i="2"/>
  <c r="G6" i="2"/>
  <c r="G7" i="2"/>
  <c r="G8" i="2"/>
  <c r="G9" i="2"/>
  <c r="G10" i="2"/>
  <c r="G2" i="2"/>
  <c r="J3" i="2"/>
  <c r="J2" i="2"/>
  <c r="C12" i="2"/>
  <c r="D12" i="2"/>
  <c r="E12" i="2"/>
  <c r="F12" i="2"/>
  <c r="B12" i="2"/>
  <c r="C11" i="2"/>
  <c r="D11" i="2"/>
  <c r="E11" i="2"/>
  <c r="F11" i="2"/>
  <c r="B11" i="2"/>
  <c r="F3" i="2"/>
  <c r="F4" i="2"/>
  <c r="F5" i="2"/>
  <c r="F6" i="2"/>
  <c r="F7" i="2"/>
  <c r="F8" i="2"/>
  <c r="F9" i="2"/>
  <c r="F10" i="2"/>
  <c r="F2" i="2"/>
  <c r="E3" i="2"/>
  <c r="E4" i="2"/>
  <c r="E5" i="2"/>
  <c r="E6" i="2"/>
  <c r="E7" i="2"/>
  <c r="E8" i="2"/>
  <c r="E9" i="2"/>
  <c r="E10" i="2"/>
  <c r="E2" i="2"/>
  <c r="D3" i="2"/>
  <c r="D4" i="2"/>
  <c r="D5" i="2"/>
  <c r="D6" i="2"/>
  <c r="D7" i="2"/>
  <c r="D8" i="2"/>
  <c r="D9" i="2"/>
  <c r="D10" i="2"/>
  <c r="D2" i="2"/>
  <c r="F3" i="1"/>
  <c r="F4" i="1"/>
  <c r="F5" i="1"/>
  <c r="F6" i="1"/>
  <c r="F7" i="1"/>
  <c r="F8" i="1"/>
  <c r="F9" i="1"/>
  <c r="F10" i="1"/>
  <c r="F2" i="1"/>
  <c r="J2" i="1"/>
  <c r="D6" i="1" s="1"/>
  <c r="G6" i="1" s="1"/>
  <c r="J1" i="1"/>
  <c r="C11" i="1"/>
  <c r="E11" i="1"/>
  <c r="B11" i="1"/>
  <c r="E3" i="1"/>
  <c r="E4" i="1"/>
  <c r="E5" i="1"/>
  <c r="E6" i="1"/>
  <c r="E7" i="1"/>
  <c r="E8" i="1"/>
  <c r="E9" i="1"/>
  <c r="E10" i="1"/>
  <c r="E2" i="1"/>
  <c r="E20" i="6" l="1"/>
  <c r="I10" i="6"/>
  <c r="I11" i="6" s="1"/>
  <c r="J10" i="6"/>
  <c r="J11" i="6" s="1"/>
  <c r="N5" i="6"/>
  <c r="N6" i="6" s="1"/>
  <c r="N7" i="6" s="1"/>
  <c r="N8" i="6" s="1"/>
  <c r="N9" i="6" s="1"/>
  <c r="N10" i="6"/>
  <c r="N11" i="6" s="1"/>
  <c r="G7" i="6"/>
  <c r="K7" i="6" s="1"/>
  <c r="G6" i="6"/>
  <c r="K6" i="6" s="1"/>
  <c r="J8" i="6"/>
  <c r="H7" i="6"/>
  <c r="L7" i="6" s="1"/>
  <c r="H6" i="6"/>
  <c r="L6" i="6" s="1"/>
  <c r="L10" i="6" s="1"/>
  <c r="L11" i="6" s="1"/>
  <c r="O10" i="6"/>
  <c r="O11" i="6" s="1"/>
  <c r="F11" i="6"/>
  <c r="G5" i="6"/>
  <c r="K5" i="6" s="1"/>
  <c r="E10" i="6"/>
  <c r="F10" i="6"/>
  <c r="G4" i="6"/>
  <c r="J5" i="6"/>
  <c r="F16" i="5"/>
  <c r="A16" i="5"/>
  <c r="P16" i="5"/>
  <c r="E13" i="5"/>
  <c r="K16" i="5"/>
  <c r="B21" i="5" s="1"/>
  <c r="F17" i="5"/>
  <c r="A17" i="5"/>
  <c r="F13" i="5"/>
  <c r="B28" i="5" s="1"/>
  <c r="P17" i="5"/>
  <c r="K17" i="5"/>
  <c r="B20" i="5"/>
  <c r="G13" i="5"/>
  <c r="B24" i="5" s="1"/>
  <c r="B29" i="5" s="1"/>
  <c r="O16" i="5"/>
  <c r="C16" i="5"/>
  <c r="G16" i="5"/>
  <c r="H13" i="5"/>
  <c r="B25" i="5" s="1"/>
  <c r="H17" i="5"/>
  <c r="D17" i="5"/>
  <c r="L17" i="5"/>
  <c r="H16" i="5"/>
  <c r="P15" i="5"/>
  <c r="B22" i="5" s="1"/>
  <c r="E21" i="5" s="1"/>
  <c r="C17" i="5"/>
  <c r="L16" i="5"/>
  <c r="B16" i="5"/>
  <c r="B19" i="5" s="1"/>
  <c r="G17" i="5"/>
  <c r="D16" i="5"/>
  <c r="O17" i="5"/>
  <c r="B17" i="5"/>
  <c r="H10" i="4"/>
  <c r="G10" i="4"/>
  <c r="I10" i="4"/>
  <c r="E10" i="4"/>
  <c r="J5" i="4"/>
  <c r="J8" i="4"/>
  <c r="J6" i="4"/>
  <c r="J4" i="4"/>
  <c r="F10" i="4"/>
  <c r="J2" i="4"/>
  <c r="J9" i="4"/>
  <c r="J7" i="4"/>
  <c r="J3" i="4"/>
  <c r="E12" i="3"/>
  <c r="F12" i="3"/>
  <c r="H18" i="3" s="1"/>
  <c r="G12" i="3"/>
  <c r="F17" i="3" s="1"/>
  <c r="K16" i="3"/>
  <c r="B17" i="3"/>
  <c r="C16" i="3"/>
  <c r="J17" i="3"/>
  <c r="A16" i="3"/>
  <c r="C13" i="3"/>
  <c r="J2" i="3" s="1"/>
  <c r="H12" i="3"/>
  <c r="L17" i="3"/>
  <c r="G18" i="3"/>
  <c r="C18" i="3"/>
  <c r="D17" i="3"/>
  <c r="H17" i="3"/>
  <c r="D18" i="3"/>
  <c r="D12" i="3"/>
  <c r="D2" i="1"/>
  <c r="D7" i="1"/>
  <c r="G7" i="1" s="1"/>
  <c r="D9" i="1"/>
  <c r="G9" i="1" s="1"/>
  <c r="D10" i="1"/>
  <c r="G10" i="1" s="1"/>
  <c r="D8" i="1"/>
  <c r="G8" i="1" s="1"/>
  <c r="F11" i="1"/>
  <c r="D3" i="1"/>
  <c r="G3" i="1" s="1"/>
  <c r="D5" i="1"/>
  <c r="G5" i="1" s="1"/>
  <c r="D4" i="1"/>
  <c r="G4" i="1" s="1"/>
  <c r="E18" i="6" l="1"/>
  <c r="E21" i="6"/>
  <c r="E24" i="6"/>
  <c r="E19" i="6"/>
  <c r="G10" i="6"/>
  <c r="G11" i="6" s="1"/>
  <c r="K4" i="6"/>
  <c r="K10" i="6" s="1"/>
  <c r="K11" i="6" s="1"/>
  <c r="E22" i="6"/>
  <c r="E23" i="6"/>
  <c r="H10" i="6"/>
  <c r="H11" i="6" s="1"/>
  <c r="H27" i="5"/>
  <c r="H25" i="5"/>
  <c r="E20" i="5"/>
  <c r="B27" i="5"/>
  <c r="B30" i="5" s="1"/>
  <c r="B31" i="5" s="1"/>
  <c r="E19" i="5"/>
  <c r="I2" i="3"/>
  <c r="I7" i="3"/>
  <c r="I10" i="3"/>
  <c r="J5" i="3"/>
  <c r="J3" i="3"/>
  <c r="J10" i="3"/>
  <c r="L18" i="3"/>
  <c r="K17" i="3"/>
  <c r="A17" i="3"/>
  <c r="I9" i="3"/>
  <c r="J4" i="3"/>
  <c r="I4" i="3"/>
  <c r="I6" i="3"/>
  <c r="J9" i="3"/>
  <c r="J7" i="3"/>
  <c r="J6" i="3"/>
  <c r="I3" i="3"/>
  <c r="J8" i="3"/>
  <c r="I8" i="3"/>
  <c r="I5" i="3"/>
  <c r="C17" i="3"/>
  <c r="J18" i="3"/>
  <c r="H16" i="3"/>
  <c r="D16" i="3"/>
  <c r="B18" i="3"/>
  <c r="G17" i="3"/>
  <c r="L16" i="3"/>
  <c r="F18" i="3"/>
  <c r="A18" i="3"/>
  <c r="K18" i="3"/>
  <c r="D11" i="1"/>
  <c r="G2" i="1"/>
  <c r="E25" i="6" l="1"/>
  <c r="E25" i="5"/>
  <c r="K9" i="5"/>
  <c r="L9" i="5" s="1"/>
  <c r="K7" i="5"/>
  <c r="L7" i="5" s="1"/>
  <c r="K5" i="5"/>
  <c r="L5" i="5" s="1"/>
  <c r="K3" i="5"/>
  <c r="L3" i="5" s="1"/>
  <c r="K8" i="5"/>
  <c r="L8" i="5" s="1"/>
  <c r="K6" i="5"/>
  <c r="L6" i="5" s="1"/>
  <c r="K4" i="5"/>
  <c r="L4" i="5" s="1"/>
  <c r="K2" i="5"/>
  <c r="H24" i="5"/>
  <c r="E24" i="5"/>
  <c r="H26" i="5"/>
  <c r="H28" i="5" s="1"/>
  <c r="H29" i="5"/>
  <c r="J10" i="4"/>
  <c r="I12" i="3"/>
  <c r="J12" i="3"/>
  <c r="B23" i="3"/>
  <c r="B22" i="3"/>
  <c r="B20" i="3"/>
  <c r="B21" i="3"/>
  <c r="L2" i="5" l="1"/>
  <c r="K12" i="5"/>
  <c r="K13" i="5" s="1"/>
  <c r="E22" i="3"/>
  <c r="E20" i="3"/>
  <c r="E21" i="3"/>
  <c r="E29" i="5" l="1"/>
  <c r="E28" i="5" s="1"/>
  <c r="L12" i="5"/>
  <c r="L13" i="5" s="1"/>
  <c r="K4" i="3"/>
  <c r="K10" i="3"/>
  <c r="K2" i="3"/>
  <c r="K9" i="3"/>
  <c r="K5" i="3"/>
  <c r="K8" i="3"/>
  <c r="K6" i="3"/>
  <c r="K7" i="3"/>
  <c r="K3" i="3"/>
  <c r="M3" i="3" l="1"/>
  <c r="L3" i="3"/>
  <c r="L7" i="3"/>
  <c r="M7" i="3"/>
  <c r="M8" i="3"/>
  <c r="L8" i="3"/>
  <c r="M9" i="3"/>
  <c r="L9" i="3"/>
  <c r="L2" i="3"/>
  <c r="K12" i="3"/>
  <c r="M2" i="3"/>
  <c r="L10" i="3"/>
  <c r="M10" i="3"/>
  <c r="L6" i="3"/>
  <c r="M6" i="3"/>
  <c r="M5" i="3"/>
  <c r="L5" i="3"/>
  <c r="L4" i="3"/>
  <c r="M4" i="3"/>
  <c r="M12" i="3" l="1"/>
  <c r="B25" i="3" s="1"/>
  <c r="B27" i="3" s="1"/>
  <c r="L12" i="3"/>
  <c r="B28" i="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<sst xmlns="http://schemas.openxmlformats.org/spreadsheetml/2006/main" count="163" uniqueCount="115">
  <si>
    <t>№</t>
  </si>
  <si>
    <t>X</t>
  </si>
  <si>
    <t>Y</t>
  </si>
  <si>
    <t>X*Y</t>
  </si>
  <si>
    <t>X^2</t>
  </si>
  <si>
    <t>y_prognoz</t>
  </si>
  <si>
    <t>(Y-y_)^2</t>
  </si>
  <si>
    <t>№ п/п</t>
  </si>
  <si>
    <t>Кількість чоловік у сім'ї Х</t>
  </si>
  <si>
    <t>Витрати на одного члена родини У, грн</t>
  </si>
  <si>
    <t>Y^2</t>
  </si>
  <si>
    <t>y^</t>
  </si>
  <si>
    <t>(Y-y^)^2</t>
  </si>
  <si>
    <t>Сума</t>
  </si>
  <si>
    <t>Середнє</t>
  </si>
  <si>
    <t>a0</t>
  </si>
  <si>
    <t>a1</t>
  </si>
  <si>
    <t>S_zag</t>
  </si>
  <si>
    <t>Qx</t>
  </si>
  <si>
    <t>ta0</t>
  </si>
  <si>
    <t>ta1</t>
  </si>
  <si>
    <t>t_table</t>
  </si>
  <si>
    <t>r</t>
  </si>
  <si>
    <t>R^2</t>
  </si>
  <si>
    <t>F_fakt</t>
  </si>
  <si>
    <r>
      <t>x</t>
    </r>
    <r>
      <rPr>
        <vertAlign val="superscript"/>
        <sz val="12"/>
        <color theme="1"/>
        <rFont val="Calibri"/>
        <family val="2"/>
        <charset val="204"/>
        <scheme val="minor"/>
      </rPr>
      <t>2</t>
    </r>
  </si>
  <si>
    <r>
      <t>x</t>
    </r>
    <r>
      <rPr>
        <vertAlign val="superscript"/>
        <sz val="12"/>
        <color theme="1"/>
        <rFont val="Calibri"/>
        <family val="2"/>
        <charset val="204"/>
        <scheme val="minor"/>
      </rPr>
      <t>3</t>
    </r>
  </si>
  <si>
    <r>
      <t>x</t>
    </r>
    <r>
      <rPr>
        <vertAlign val="superscript"/>
        <sz val="12"/>
        <color theme="1"/>
        <rFont val="Calibri"/>
        <family val="2"/>
        <charset val="204"/>
        <scheme val="minor"/>
      </rPr>
      <t>4</t>
    </r>
  </si>
  <si>
    <t>xy</t>
  </si>
  <si>
    <r>
      <t>x</t>
    </r>
    <r>
      <rPr>
        <vertAlign val="superscript"/>
        <sz val="12"/>
        <color theme="1"/>
        <rFont val="Calibri"/>
        <family val="2"/>
        <charset val="204"/>
        <scheme val="minor"/>
      </rPr>
      <t>2</t>
    </r>
    <r>
      <rPr>
        <sz val="12"/>
        <color theme="1"/>
        <rFont val="Calibri"/>
        <family val="2"/>
        <charset val="204"/>
        <scheme val="minor"/>
      </rPr>
      <t>y</t>
    </r>
  </si>
  <si>
    <t>y-y_</t>
  </si>
  <si>
    <t>(y-y_)2</t>
  </si>
  <si>
    <t>y^-y_</t>
  </si>
  <si>
    <r>
      <t>(y^-y_)</t>
    </r>
    <r>
      <rPr>
        <vertAlign val="superscript"/>
        <sz val="12"/>
        <color theme="1"/>
        <rFont val="Calibri"/>
        <family val="2"/>
        <charset val="204"/>
        <scheme val="minor"/>
      </rPr>
      <t>2</t>
    </r>
  </si>
  <si>
    <t>Всього</t>
  </si>
  <si>
    <t xml:space="preserve">В середньому </t>
  </si>
  <si>
    <t>Параметри для рівняння параболи(Завдання 1)</t>
  </si>
  <si>
    <t>Дельта</t>
  </si>
  <si>
    <t>a0=</t>
  </si>
  <si>
    <t>Дельта0</t>
  </si>
  <si>
    <t>a1=</t>
  </si>
  <si>
    <t>Дельта1</t>
  </si>
  <si>
    <t>a2=</t>
  </si>
  <si>
    <t>Дельта2</t>
  </si>
  <si>
    <t>Оціка щільності зв'язку(Завдання 2)</t>
  </si>
  <si>
    <t>Nx/y=</t>
  </si>
  <si>
    <t>Встановленння достовірності (Завдання 3)</t>
  </si>
  <si>
    <t>Un=</t>
  </si>
  <si>
    <t>Tn=</t>
  </si>
  <si>
    <t>Продуктивність X, рік</t>
  </si>
  <si>
    <t>Заробітна плата Y, грн.</t>
  </si>
  <si>
    <t>X1</t>
  </si>
  <si>
    <t>X2</t>
  </si>
  <si>
    <t>Y*X1</t>
  </si>
  <si>
    <t>Y*X2</t>
  </si>
  <si>
    <t>X1^2</t>
  </si>
  <si>
    <t>X2^2</t>
  </si>
  <si>
    <t>X1*X2</t>
  </si>
  <si>
    <t>a2</t>
  </si>
  <si>
    <t>Дельта_0</t>
  </si>
  <si>
    <t>Дельта_1</t>
  </si>
  <si>
    <t>Дельта_2</t>
  </si>
  <si>
    <t>номер під-ва</t>
  </si>
  <si>
    <t>Чисельність робітників, тис осіб</t>
  </si>
  <si>
    <t>Наявність обігових коштів, тис грн</t>
  </si>
  <si>
    <t>Обсяг виробництва, тис шт</t>
  </si>
  <si>
    <t>YX1​</t>
  </si>
  <si>
    <t>YX2​</t>
  </si>
  <si>
    <t>X1^2​</t>
  </si>
  <si>
    <t>X2^2​</t>
  </si>
  <si>
    <t>X1​X2​</t>
  </si>
  <si>
    <t>Y^</t>
  </si>
  <si>
    <t>Y-Y^</t>
  </si>
  <si>
    <t>Разом</t>
  </si>
  <si>
    <t>Середне</t>
  </si>
  <si>
    <t>Дельта3</t>
  </si>
  <si>
    <t>σx1</t>
  </si>
  <si>
    <t>E1</t>
  </si>
  <si>
    <t>σx2</t>
  </si>
  <si>
    <t>ta2</t>
  </si>
  <si>
    <t>E2</t>
  </si>
  <si>
    <t>σy</t>
  </si>
  <si>
    <t>k1</t>
  </si>
  <si>
    <t>β1</t>
  </si>
  <si>
    <t>ryx1</t>
  </si>
  <si>
    <t>k2</t>
  </si>
  <si>
    <t>β2</t>
  </si>
  <si>
    <t>ryx2</t>
  </si>
  <si>
    <t>Fрозр</t>
  </si>
  <si>
    <t>∆1</t>
  </si>
  <si>
    <t>rx1x2</t>
  </si>
  <si>
    <t>σзаг</t>
  </si>
  <si>
    <t>∆2</t>
  </si>
  <si>
    <t>RYX1X2</t>
  </si>
  <si>
    <t>t^2</t>
  </si>
  <si>
    <t>Місяць</t>
  </si>
  <si>
    <t>Обсяг (yi​), млн грн</t>
  </si>
  <si>
    <t>Абсолютний приріст</t>
  </si>
  <si>
    <t xml:space="preserve">Коеф. зростання </t>
  </si>
  <si>
    <t>Темпи зростання</t>
  </si>
  <si>
    <t>Коефіціент приросту</t>
  </si>
  <si>
    <t>Темпи прирост</t>
  </si>
  <si>
    <t>Абсолютні значення на 1%</t>
  </si>
  <si>
    <t>Зглажування ряду</t>
  </si>
  <si>
    <t>З попер.</t>
  </si>
  <si>
    <t>З місяцем 1</t>
  </si>
  <si>
    <t>Kp</t>
  </si>
  <si>
    <t>-</t>
  </si>
  <si>
    <t>Середній абсолют</t>
  </si>
  <si>
    <t>Тр</t>
  </si>
  <si>
    <t>Тпр</t>
  </si>
  <si>
    <t>Аналітичне зглажування ряду динаміки рівнянням прямої</t>
  </si>
  <si>
    <t>t</t>
  </si>
  <si>
    <t>yt</t>
  </si>
  <si>
    <t>Кількість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</si>
</sst>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2"/>
      <color rgb="FF1F1F1F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vertAlign val="superscript"/>
      <sz val="12"/>
      <color theme="1"/>
      <name val="Calibri"/>
      <family val="2"/>
      <charset val="204"/>
      <scheme val="minor"/>
    </font>
    <font>
      <sz val="12"/>
      <color rgb="FF1F1F1F"/>
      <name val="Times New Roman"/>
      <family val="1"/>
      <charset val="204"/>
    </font>
    <font>
      <sz val="11"/>
      <color rgb="FF000000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1"/>
      <color rgb="FF1F1F1F"/>
      <name val="Arial"/>
      <family val="2"/>
      <charset val="204"/>
    </font>
    <font>
      <sz val="11"/>
      <color rgb="FF1F1F1F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  <font>
      <b/>
      <sz val="12"/>
      <color rgb="FF1F1F1F"/>
      <name val="Times New Roman"/>
      <family val="1"/>
      <charset val="204"/>
    </font>
    <font>
      <sz val="11"/>
      <name val="Calibri"/>
      <family val="2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sz val="12"/>
      <color rgb="FF1F1F1F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7">
    <xf numFmtId="0" fontId="0" fillId="0" borderId="0" xfId="0"/>
    <xf numFmtId="0" fontId="0" fillId="0" borderId="0" xfId="0" applyAlignment="1">
      <alignment wrapText="1"/>
    </xf>
    <xf numFmtId="10" fontId="0" fillId="0" borderId="0" xfId="1" applyNumberFormat="1" applyFont="1"/>
    <xf numFmtId="0" fontId="2" fillId="0" borderId="0" xfId="0" applyFont="1" applyAlignment="1">
      <alignment horizontal="left" vertical="center" wrapText="1" indent="1" readingOrder="1"/>
    </xf>
    <xf numFmtId="0" fontId="3" fillId="0" borderId="0" xfId="0" applyFont="1" applyAlignment="1">
      <alignment vertical="center"/>
    </xf>
    <xf numFmtId="0" fontId="5" fillId="0" borderId="0" xfId="0" applyFont="1" applyAlignment="1">
      <alignment horizontal="left" vertical="center" wrapText="1" indent="1" readingOrder="1"/>
    </xf>
    <xf numFmtId="2" fontId="5" fillId="0" borderId="0" xfId="0" applyNumberFormat="1" applyFont="1" applyAlignment="1">
      <alignment horizontal="left" vertical="center" wrapText="1" indent="1" readingOrder="1"/>
    </xf>
    <xf numFmtId="2" fontId="3" fillId="0" borderId="0" xfId="0" applyNumberFormat="1" applyFont="1"/>
    <xf numFmtId="0" fontId="3" fillId="0" borderId="0" xfId="0" applyFont="1"/>
    <xf numFmtId="2" fontId="0" fillId="0" borderId="0" xfId="0" applyNumberFormat="1"/>
    <xf numFmtId="164" fontId="6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vertical="center" wrapText="1" readingOrder="1"/>
    </xf>
    <xf numFmtId="0" fontId="8" fillId="0" borderId="0" xfId="0" applyFont="1" applyAlignment="1">
      <alignment horizontal="left" vertical="center" wrapText="1" indent="1" readingOrder="1"/>
    </xf>
    <xf numFmtId="0" fontId="9" fillId="0" borderId="0" xfId="0" applyFont="1" applyAlignment="1">
      <alignment horizontal="center" vertical="center" wrapText="1" readingOrder="1"/>
    </xf>
    <xf numFmtId="0" fontId="10" fillId="0" borderId="0" xfId="0" applyFont="1" applyAlignment="1">
      <alignment horizontal="center" vertical="center"/>
    </xf>
    <xf numFmtId="0" fontId="10" fillId="0" borderId="0" xfId="0" applyFont="1"/>
    <xf numFmtId="0" fontId="9" fillId="0" borderId="0" xfId="0" applyFont="1" applyAlignment="1">
      <alignment vertical="center" wrapText="1" readingOrder="1"/>
    </xf>
    <xf numFmtId="0" fontId="9" fillId="0" borderId="0" xfId="0" applyFont="1" applyAlignment="1">
      <alignment horizontal="left" vertical="center" wrapText="1" indent="1" readingOrder="1"/>
    </xf>
    <xf numFmtId="2" fontId="10" fillId="0" borderId="0" xfId="0" applyNumberFormat="1" applyFont="1"/>
    <xf numFmtId="0" fontId="10" fillId="0" borderId="0" xfId="0" applyFont="1" applyAlignment="1">
      <alignment vertical="center"/>
    </xf>
    <xf numFmtId="0" fontId="11" fillId="0" borderId="0" xfId="0" applyFont="1"/>
    <xf numFmtId="0" fontId="12" fillId="0" borderId="0" xfId="0" applyFont="1" applyAlignment="1">
      <alignment horizontal="center" vertical="center" wrapText="1" readingOrder="1"/>
    </xf>
    <xf numFmtId="0" fontId="14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/>
    <xf numFmtId="2" fontId="16" fillId="0" borderId="0" xfId="0" applyNumberFormat="1" applyFont="1" applyAlignment="1">
      <alignment horizontal="center" vertical="center" wrapText="1" readingOrder="1"/>
    </xf>
    <xf numFmtId="2" fontId="15" fillId="0" borderId="0" xfId="0" applyNumberFormat="1" applyFont="1" applyAlignment="1">
      <alignment horizontal="center" vertical="center"/>
    </xf>
    <xf numFmtId="2" fontId="12" fillId="0" borderId="0" xfId="0" applyNumberFormat="1" applyFont="1" applyAlignment="1">
      <alignment horizontal="center" vertical="center" wrapText="1" readingOrder="1"/>
    </xf>
    <xf numFmtId="2" fontId="15" fillId="0" borderId="0" xfId="0" applyNumberFormat="1" applyFont="1"/>
    <xf numFmtId="0" fontId="15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3" fillId="0" borderId="0" xfId="0" applyFont="1"/>
    <xf numFmtId="0" fontId="15" fillId="0" borderId="0" xfId="0" applyFont="1" applyAlignment="1">
      <alignment horizontal="center"/>
    </xf>
    <xf numFmtId="0" fontId="12" fillId="0" borderId="0" xfId="0" applyFont="1" applyAlignment="1">
      <alignment horizontal="center" vertical="center" wrapText="1" readingOrder="1"/>
    </xf>
    <xf numFmtId="0" fontId="1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Графік</a:t>
            </a:r>
            <a:r>
              <a:rPr lang="ru-RU" baseline="0"/>
              <a:t> співвідношення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lotArea>
      <c:layout>
        <c:manualLayout>
          <c:layoutTarget val="inner"/>
          <c:xMode val="edge"/>
          <c:yMode val="edge"/>
          <c:x val="4.2231694969760182E-2"/>
          <c:y val="0.1194524959742351"/>
          <c:w val="0.81519804396364837"/>
          <c:h val="0.80583488658120639"/>
        </c:manualLayout>
      </c:layout>
      <c:scatterChart>
        <c:scatterStyle val="lineMarker"/>
        <c:varyColors val="0"/>
        <c:ser>
          <c:idx val="0"/>
          <c:order val="0"/>
          <c:tx>
            <c:v>Реальні дані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ЛР1!$B$2:$B$10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4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</c:numCache>
            </c:numRef>
          </c:xVal>
          <c:yVal>
            <c:numRef>
              <c:f>ЛР1!$C$2:$C$10</c:f>
              <c:numCache>
                <c:formatCode>General</c:formatCode>
                <c:ptCount val="9"/>
                <c:pt idx="0">
                  <c:v>50</c:v>
                </c:pt>
                <c:pt idx="1">
                  <c:v>52</c:v>
                </c:pt>
                <c:pt idx="2">
                  <c:v>52</c:v>
                </c:pt>
                <c:pt idx="3">
                  <c:v>50</c:v>
                </c:pt>
                <c:pt idx="4">
                  <c:v>54</c:v>
                </c:pt>
                <c:pt idx="5">
                  <c:v>57</c:v>
                </c:pt>
                <c:pt idx="6">
                  <c:v>57</c:v>
                </c:pt>
                <c:pt idx="7">
                  <c:v>59</c:v>
                </c:pt>
                <c:pt idx="8">
                  <c:v>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2C-439E-B6FE-06307B36A6A9}"/>
            </c:ext>
          </c:extLst>
        </c:ser>
        <c:ser>
          <c:idx val="1"/>
          <c:order val="1"/>
          <c:tx>
            <c:v>Очікувані дані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ЛР1!$B$2:$B$10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4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</c:numCache>
            </c:numRef>
          </c:xVal>
          <c:yVal>
            <c:numRef>
              <c:f>ЛР1!$D$2:$D$10</c:f>
              <c:numCache>
                <c:formatCode>General</c:formatCode>
                <c:ptCount val="9"/>
                <c:pt idx="0">
                  <c:v>48.599999999999994</c:v>
                </c:pt>
                <c:pt idx="1">
                  <c:v>50.776923076923076</c:v>
                </c:pt>
                <c:pt idx="2">
                  <c:v>52.95384615384615</c:v>
                </c:pt>
                <c:pt idx="3">
                  <c:v>52.95384615384615</c:v>
                </c:pt>
                <c:pt idx="4">
                  <c:v>55.130769230769232</c:v>
                </c:pt>
                <c:pt idx="5">
                  <c:v>55.130769230769232</c:v>
                </c:pt>
                <c:pt idx="6">
                  <c:v>57.307692307692307</c:v>
                </c:pt>
                <c:pt idx="7">
                  <c:v>59.484615384615381</c:v>
                </c:pt>
                <c:pt idx="8">
                  <c:v>61.661538461538456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E2C-439E-B6FE-06307B36A6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9477184"/>
        <c:axId val="309470944"/>
      </c:scatterChart>
      <c:valAx>
        <c:axId val="309477184"/>
        <c:scaling>
          <c:orientation val="minMax"/>
          <c:min val="0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309470944"/>
        <c:crosses val="autoZero"/>
        <c:crossBetween val="midCat"/>
      </c:valAx>
      <c:valAx>
        <c:axId val="309470944"/>
        <c:scaling>
          <c:orientation val="minMax"/>
          <c:min val="4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3094771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7272764352502741"/>
          <c:y val="0.39104619168980687"/>
          <c:w val="0.11670083681485938"/>
          <c:h val="0.2053147704363041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9372703412073493E-2"/>
          <c:y val="0.16708333333333336"/>
          <c:w val="0.84284251968503932"/>
          <c:h val="0.72088764946048411"/>
        </c:manualLayout>
      </c:layout>
      <c:scatterChart>
        <c:scatterStyle val="smoothMarker"/>
        <c:varyColors val="0"/>
        <c:ser>
          <c:idx val="0"/>
          <c:order val="0"/>
          <c:tx>
            <c:v>11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ЛР3!$B$2:$B$10</c:f>
              <c:numCache>
                <c:formatCode>0.00</c:formatCode>
                <c:ptCount val="9"/>
                <c:pt idx="0">
                  <c:v>0.63</c:v>
                </c:pt>
                <c:pt idx="1">
                  <c:v>0.72</c:v>
                </c:pt>
                <c:pt idx="2">
                  <c:v>0.81</c:v>
                </c:pt>
                <c:pt idx="3">
                  <c:v>0.93</c:v>
                </c:pt>
                <c:pt idx="4">
                  <c:v>0.99</c:v>
                </c:pt>
                <c:pt idx="5">
                  <c:v>1.2</c:v>
                </c:pt>
                <c:pt idx="6">
                  <c:v>1.33</c:v>
                </c:pt>
                <c:pt idx="7">
                  <c:v>1.6</c:v>
                </c:pt>
                <c:pt idx="8">
                  <c:v>1.8</c:v>
                </c:pt>
              </c:numCache>
            </c:numRef>
          </c:xVal>
          <c:yVal>
            <c:numRef>
              <c:f>ЛР3!$C$2:$C$10</c:f>
              <c:numCache>
                <c:formatCode>0.00</c:formatCode>
                <c:ptCount val="9"/>
                <c:pt idx="0">
                  <c:v>945</c:v>
                </c:pt>
                <c:pt idx="1">
                  <c:v>1100</c:v>
                </c:pt>
                <c:pt idx="2">
                  <c:v>1356</c:v>
                </c:pt>
                <c:pt idx="3">
                  <c:v>1400</c:v>
                </c:pt>
                <c:pt idx="4">
                  <c:v>1550</c:v>
                </c:pt>
                <c:pt idx="5">
                  <c:v>1800</c:v>
                </c:pt>
                <c:pt idx="6">
                  <c:v>2152</c:v>
                </c:pt>
                <c:pt idx="7">
                  <c:v>2152</c:v>
                </c:pt>
                <c:pt idx="8">
                  <c:v>2269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46E-45D2-9279-3209BC857A40}"/>
            </c:ext>
          </c:extLst>
        </c:ser>
        <c:ser>
          <c:idx val="1"/>
          <c:order val="1"/>
          <c:tx>
            <c:v>1111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ЛР3!$B$2:$B$10</c:f>
              <c:numCache>
                <c:formatCode>0.00</c:formatCode>
                <c:ptCount val="9"/>
                <c:pt idx="0">
                  <c:v>0.63</c:v>
                </c:pt>
                <c:pt idx="1">
                  <c:v>0.72</c:v>
                </c:pt>
                <c:pt idx="2">
                  <c:v>0.81</c:v>
                </c:pt>
                <c:pt idx="3">
                  <c:v>0.93</c:v>
                </c:pt>
                <c:pt idx="4">
                  <c:v>0.99</c:v>
                </c:pt>
                <c:pt idx="5">
                  <c:v>1.2</c:v>
                </c:pt>
                <c:pt idx="6">
                  <c:v>1.33</c:v>
                </c:pt>
                <c:pt idx="7">
                  <c:v>1.6</c:v>
                </c:pt>
                <c:pt idx="8">
                  <c:v>1.8</c:v>
                </c:pt>
              </c:numCache>
            </c:numRef>
          </c:xVal>
          <c:yVal>
            <c:numRef>
              <c:f>ЛР3!$K$2:$K$10</c:f>
              <c:numCache>
                <c:formatCode>0.00</c:formatCode>
                <c:ptCount val="9"/>
                <c:pt idx="0">
                  <c:v>930.8665874090027</c:v>
                </c:pt>
                <c:pt idx="1">
                  <c:v>1113.1039521692201</c:v>
                </c:pt>
                <c:pt idx="2">
                  <c:v>1282.1306503757964</c:v>
                </c:pt>
                <c:pt idx="3">
                  <c:v>1486.9496555677902</c:v>
                </c:pt>
                <c:pt idx="4">
                  <c:v>1580.5520471280261</c:v>
                </c:pt>
                <c:pt idx="5">
                  <c:v>1861.9230846511089</c:v>
                </c:pt>
                <c:pt idx="6">
                  <c:v>2000.0612381116373</c:v>
                </c:pt>
                <c:pt idx="7">
                  <c:v>2198.8924464797437</c:v>
                </c:pt>
                <c:pt idx="8">
                  <c:v>2269.5203381078309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46E-45D2-9279-3209BC857A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0594992"/>
        <c:axId val="1660592592"/>
      </c:scatterChart>
      <c:valAx>
        <c:axId val="1660594992"/>
        <c:scaling>
          <c:orientation val="minMax"/>
          <c:max val="1.85"/>
          <c:min val="0.5500000000000000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660592592"/>
        <c:crosses val="autoZero"/>
        <c:crossBetween val="midCat"/>
      </c:valAx>
      <c:valAx>
        <c:axId val="1660592592"/>
        <c:scaling>
          <c:orientation val="minMax"/>
          <c:max val="2400"/>
          <c:min val="9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660594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Поточний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ЛР6!$A$3:$A$9</c:f>
              <c:numCache>
                <c:formatCode>0.00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ЛР6!$B$3:$B$9</c:f>
              <c:numCache>
                <c:formatCode>0.00</c:formatCode>
                <c:ptCount val="7"/>
                <c:pt idx="0">
                  <c:v>141.30000000000001</c:v>
                </c:pt>
                <c:pt idx="1">
                  <c:v>140.5</c:v>
                </c:pt>
                <c:pt idx="2">
                  <c:v>143.4</c:v>
                </c:pt>
                <c:pt idx="3">
                  <c:v>146.80000000000001</c:v>
                </c:pt>
                <c:pt idx="4">
                  <c:v>145</c:v>
                </c:pt>
                <c:pt idx="5">
                  <c:v>147</c:v>
                </c:pt>
                <c:pt idx="6">
                  <c:v>149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A58-49D2-B751-B3FE107D168D}"/>
            </c:ext>
          </c:extLst>
        </c:ser>
        <c:ser>
          <c:idx val="1"/>
          <c:order val="1"/>
          <c:tx>
            <c:v>Аналтичний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ЛР6!$A$18:$A$24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ЛР6!$E$18:$E$24</c:f>
              <c:numCache>
                <c:formatCode>0.00</c:formatCode>
                <c:ptCount val="7"/>
                <c:pt idx="0">
                  <c:v>140.67500000000001</c:v>
                </c:pt>
                <c:pt idx="1">
                  <c:v>142.02142857142857</c:v>
                </c:pt>
                <c:pt idx="2">
                  <c:v>143.36785714285716</c:v>
                </c:pt>
                <c:pt idx="3">
                  <c:v>144.71428571428572</c:v>
                </c:pt>
                <c:pt idx="4">
                  <c:v>146.06071428571428</c:v>
                </c:pt>
                <c:pt idx="5">
                  <c:v>147.40714285714287</c:v>
                </c:pt>
                <c:pt idx="6">
                  <c:v>148.75357142857143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A58-49D2-B751-B3FE107D16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1487088"/>
        <c:axId val="1101488048"/>
      </c:scatterChart>
      <c:valAx>
        <c:axId val="1101487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101488048"/>
        <c:crosses val="autoZero"/>
        <c:crossBetween val="midCat"/>
      </c:valAx>
      <c:valAx>
        <c:axId val="1101488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101487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607217</xdr:colOff>
      <xdr:row>2</xdr:row>
      <xdr:rowOff>157163</xdr:rowOff>
    </xdr:from>
    <xdr:to>
      <xdr:col>21</xdr:col>
      <xdr:colOff>42863</xdr:colOff>
      <xdr:row>24</xdr:row>
      <xdr:rowOff>119063</xdr:rowOff>
    </xdr:to>
    <xdr:graphicFrame macro="">
      <xdr:nvGraphicFramePr>
        <xdr:cNvPr id="13" name="Диаграмма 12">
          <a:extLst>
            <a:ext uri="{FF2B5EF4-FFF2-40B4-BE49-F238E27FC236}">
              <a16:creationId xmlns:a16="http://schemas.microsoft.com/office/drawing/2014/main" id="{7E1F89B3-EDDF-001F-3B40-5CC41A9D58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26095</xdr:colOff>
      <xdr:row>0</xdr:row>
      <xdr:rowOff>84812</xdr:rowOff>
    </xdr:from>
    <xdr:to>
      <xdr:col>28</xdr:col>
      <xdr:colOff>569427</xdr:colOff>
      <xdr:row>30</xdr:row>
      <xdr:rowOff>134592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1825F305-02D6-4211-2490-636AA85127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259556</xdr:colOff>
      <xdr:row>12</xdr:row>
      <xdr:rowOff>76199</xdr:rowOff>
    </xdr:from>
    <xdr:to>
      <xdr:col>12</xdr:col>
      <xdr:colOff>616744</xdr:colOff>
      <xdr:row>25</xdr:row>
      <xdr:rowOff>9524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CF01FBB7-65B1-D02D-A53F-E1EC971E37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56120-CB05-46AC-BC44-ECB9379177B5}">
  <dimension ref="A1:J11"/>
  <sheetViews>
    <sheetView topLeftCell="A2" workbookViewId="0">
      <selection activeCell="B1" sqref="B1:C10"/>
    </sheetView>
  </sheetViews>
  <sheetFormatPr defaultRowHeight="14.25" x14ac:dyDescent="0.45"/>
  <sheetData>
    <row r="1" spans="1:10" x14ac:dyDescent="0.45">
      <c r="A1" t="s">
        <v>0</v>
      </c>
      <c r="B1" t="s">
        <v>1</v>
      </c>
      <c r="C1" t="s">
        <v>2</v>
      </c>
      <c r="D1" t="s">
        <v>5</v>
      </c>
      <c r="E1" t="s">
        <v>4</v>
      </c>
      <c r="F1" t="s">
        <v>3</v>
      </c>
      <c r="G1" t="s">
        <v>6</v>
      </c>
      <c r="J1">
        <f>SLOPE(C2:C10, B2:B10)</f>
        <v>2.1769230769230772</v>
      </c>
    </row>
    <row r="2" spans="1:10" x14ac:dyDescent="0.45">
      <c r="A2">
        <v>1</v>
      </c>
      <c r="B2">
        <v>1</v>
      </c>
      <c r="C2">
        <v>50</v>
      </c>
      <c r="D2">
        <f t="shared" ref="D2:D10" si="0">$J$2 + $J$1*B2</f>
        <v>48.599999999999994</v>
      </c>
      <c r="E2">
        <f>B2^2</f>
        <v>1</v>
      </c>
      <c r="F2">
        <f>B2*C2</f>
        <v>50</v>
      </c>
      <c r="G2">
        <f>(C2-D2)^2</f>
        <v>1.960000000000016</v>
      </c>
      <c r="J2">
        <f>INTERCEPT(C2:C10, B2:B10)</f>
        <v>46.42307692307692</v>
      </c>
    </row>
    <row r="3" spans="1:10" x14ac:dyDescent="0.45">
      <c r="A3">
        <v>2</v>
      </c>
      <c r="B3">
        <v>2</v>
      </c>
      <c r="C3">
        <v>52</v>
      </c>
      <c r="D3">
        <f t="shared" si="0"/>
        <v>50.776923076923076</v>
      </c>
      <c r="E3">
        <f t="shared" ref="E3:E10" si="1">B3^2</f>
        <v>4</v>
      </c>
      <c r="F3">
        <f t="shared" ref="F3:F10" si="2">B3*C3</f>
        <v>104</v>
      </c>
      <c r="G3">
        <f t="shared" ref="G3:G10" si="3">(C3-D3)^2</f>
        <v>1.4959171597633161</v>
      </c>
    </row>
    <row r="4" spans="1:10" x14ac:dyDescent="0.45">
      <c r="A4">
        <v>3</v>
      </c>
      <c r="B4">
        <v>3</v>
      </c>
      <c r="C4">
        <v>52</v>
      </c>
      <c r="D4">
        <f t="shared" si="0"/>
        <v>52.95384615384615</v>
      </c>
      <c r="E4">
        <f t="shared" si="1"/>
        <v>9</v>
      </c>
      <c r="F4">
        <f t="shared" si="2"/>
        <v>156</v>
      </c>
      <c r="G4">
        <f t="shared" si="3"/>
        <v>0.90982248520709408</v>
      </c>
    </row>
    <row r="5" spans="1:10" x14ac:dyDescent="0.45">
      <c r="A5">
        <v>4</v>
      </c>
      <c r="B5">
        <v>3</v>
      </c>
      <c r="C5">
        <v>50</v>
      </c>
      <c r="D5">
        <f t="shared" si="0"/>
        <v>52.95384615384615</v>
      </c>
      <c r="E5">
        <f t="shared" si="1"/>
        <v>9</v>
      </c>
      <c r="F5">
        <f t="shared" si="2"/>
        <v>150</v>
      </c>
      <c r="G5">
        <f t="shared" si="3"/>
        <v>8.725207100591696</v>
      </c>
    </row>
    <row r="6" spans="1:10" x14ac:dyDescent="0.45">
      <c r="A6">
        <v>5</v>
      </c>
      <c r="B6">
        <v>4</v>
      </c>
      <c r="C6">
        <v>54</v>
      </c>
      <c r="D6">
        <f t="shared" si="0"/>
        <v>55.130769230769232</v>
      </c>
      <c r="E6">
        <f t="shared" si="1"/>
        <v>16</v>
      </c>
      <c r="F6">
        <f t="shared" si="2"/>
        <v>216</v>
      </c>
      <c r="G6">
        <f t="shared" si="3"/>
        <v>1.2786390532544409</v>
      </c>
    </row>
    <row r="7" spans="1:10" x14ac:dyDescent="0.45">
      <c r="A7">
        <v>6</v>
      </c>
      <c r="B7">
        <v>4</v>
      </c>
      <c r="C7">
        <v>57</v>
      </c>
      <c r="D7">
        <f t="shared" si="0"/>
        <v>55.130769230769232</v>
      </c>
      <c r="E7">
        <f t="shared" si="1"/>
        <v>16</v>
      </c>
      <c r="F7">
        <f t="shared" si="2"/>
        <v>228</v>
      </c>
      <c r="G7">
        <f t="shared" si="3"/>
        <v>3.4940236686390485</v>
      </c>
    </row>
    <row r="8" spans="1:10" x14ac:dyDescent="0.45">
      <c r="A8">
        <v>7</v>
      </c>
      <c r="B8">
        <v>5</v>
      </c>
      <c r="C8">
        <v>57</v>
      </c>
      <c r="D8">
        <f t="shared" si="0"/>
        <v>57.307692307692307</v>
      </c>
      <c r="E8">
        <f t="shared" si="1"/>
        <v>25</v>
      </c>
      <c r="F8">
        <f t="shared" si="2"/>
        <v>285</v>
      </c>
      <c r="G8">
        <f t="shared" si="3"/>
        <v>9.4674556213017083E-2</v>
      </c>
    </row>
    <row r="9" spans="1:10" x14ac:dyDescent="0.45">
      <c r="A9">
        <v>8</v>
      </c>
      <c r="B9">
        <v>6</v>
      </c>
      <c r="C9">
        <v>59</v>
      </c>
      <c r="D9">
        <f t="shared" si="0"/>
        <v>59.484615384615381</v>
      </c>
      <c r="E9">
        <f t="shared" si="1"/>
        <v>36</v>
      </c>
      <c r="F9">
        <f t="shared" si="2"/>
        <v>354</v>
      </c>
      <c r="G9">
        <f t="shared" si="3"/>
        <v>0.23485207100591377</v>
      </c>
    </row>
    <row r="10" spans="1:10" x14ac:dyDescent="0.45">
      <c r="A10">
        <v>9</v>
      </c>
      <c r="B10">
        <v>7</v>
      </c>
      <c r="C10">
        <v>63</v>
      </c>
      <c r="D10">
        <f t="shared" si="0"/>
        <v>61.661538461538456</v>
      </c>
      <c r="E10">
        <f t="shared" si="1"/>
        <v>49</v>
      </c>
      <c r="F10">
        <f t="shared" si="2"/>
        <v>441</v>
      </c>
      <c r="G10">
        <f t="shared" si="3"/>
        <v>1.7914792899408443</v>
      </c>
    </row>
    <row r="11" spans="1:10" x14ac:dyDescent="0.45">
      <c r="B11">
        <f>SUM(B2:B10)</f>
        <v>35</v>
      </c>
      <c r="C11">
        <f t="shared" ref="C11:F11" si="4">SUM(C2:C10)</f>
        <v>494</v>
      </c>
      <c r="D11">
        <f t="shared" si="4"/>
        <v>494</v>
      </c>
      <c r="E11">
        <f t="shared" si="4"/>
        <v>165</v>
      </c>
      <c r="F11">
        <f t="shared" si="4"/>
        <v>1984</v>
      </c>
    </row>
  </sheetData>
  <sortState xmlns:xlrd2="http://schemas.microsoft.com/office/spreadsheetml/2017/richdata2" ref="B2:D10">
    <sortCondition ref="B2:B10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876DF-9524-4501-8B6C-7EB698F79759}">
  <dimension ref="A1:L12"/>
  <sheetViews>
    <sheetView workbookViewId="0">
      <selection activeCell="H13" sqref="H13"/>
    </sheetView>
  </sheetViews>
  <sheetFormatPr defaultRowHeight="14.25" x14ac:dyDescent="0.45"/>
  <sheetData>
    <row r="1" spans="1:12" ht="71.25" x14ac:dyDescent="0.45">
      <c r="A1" t="s">
        <v>7</v>
      </c>
      <c r="B1" s="1" t="s">
        <v>8</v>
      </c>
      <c r="C1" s="1" t="s">
        <v>9</v>
      </c>
      <c r="D1" t="s">
        <v>3</v>
      </c>
      <c r="E1" t="s">
        <v>4</v>
      </c>
      <c r="F1" t="s">
        <v>10</v>
      </c>
      <c r="G1" t="s">
        <v>11</v>
      </c>
      <c r="H1" t="s">
        <v>12</v>
      </c>
    </row>
    <row r="2" spans="1:12" x14ac:dyDescent="0.45">
      <c r="A2">
        <v>1</v>
      </c>
      <c r="B2">
        <v>2</v>
      </c>
      <c r="C2">
        <v>52</v>
      </c>
      <c r="D2">
        <f>B2*C2</f>
        <v>104</v>
      </c>
      <c r="E2">
        <f>B2^2</f>
        <v>4</v>
      </c>
      <c r="F2">
        <f>C2^2</f>
        <v>2704</v>
      </c>
      <c r="G2">
        <f>$J$3+$J$2*B2</f>
        <v>50.776923076923076</v>
      </c>
      <c r="H2">
        <f>(C2-G2)^2</f>
        <v>1.4959171597633161</v>
      </c>
      <c r="I2" t="s">
        <v>15</v>
      </c>
      <c r="J2">
        <f>SLOPE(C2:C10, B2:B10)</f>
        <v>2.1769230769230767</v>
      </c>
      <c r="K2" t="s">
        <v>22</v>
      </c>
      <c r="L2">
        <f>CORREL(B2:B10, C2:C10)</f>
        <v>0.93414094602397701</v>
      </c>
    </row>
    <row r="3" spans="1:12" x14ac:dyDescent="0.45">
      <c r="A3">
        <v>2</v>
      </c>
      <c r="B3">
        <v>4</v>
      </c>
      <c r="C3">
        <v>54</v>
      </c>
      <c r="D3">
        <f t="shared" ref="D3:D10" si="0">B3*C3</f>
        <v>216</v>
      </c>
      <c r="E3">
        <f t="shared" ref="E3:E10" si="1">B3^2</f>
        <v>16</v>
      </c>
      <c r="F3">
        <f t="shared" ref="F3:F10" si="2">C3^2</f>
        <v>2916</v>
      </c>
      <c r="G3">
        <f t="shared" ref="G3:G10" si="3">$J$3+$J$2*B3</f>
        <v>55.130769230769225</v>
      </c>
      <c r="H3">
        <f t="shared" ref="H3:H10" si="4">(C3-G3)^2</f>
        <v>1.2786390532544247</v>
      </c>
      <c r="I3" t="s">
        <v>16</v>
      </c>
      <c r="J3">
        <f>INTERCEPT(C2:C10, B2:B10)</f>
        <v>46.42307692307692</v>
      </c>
      <c r="K3" t="s">
        <v>23</v>
      </c>
      <c r="L3">
        <f>RSQ(C2:C10, B2:B10)</f>
        <v>0.87261930703857027</v>
      </c>
    </row>
    <row r="4" spans="1:12" x14ac:dyDescent="0.45">
      <c r="A4">
        <v>3</v>
      </c>
      <c r="B4">
        <v>3</v>
      </c>
      <c r="C4">
        <v>52</v>
      </c>
      <c r="D4">
        <f t="shared" si="0"/>
        <v>156</v>
      </c>
      <c r="E4">
        <f t="shared" si="1"/>
        <v>9</v>
      </c>
      <c r="F4">
        <f t="shared" si="2"/>
        <v>2704</v>
      </c>
      <c r="G4">
        <f t="shared" si="3"/>
        <v>52.95384615384615</v>
      </c>
      <c r="H4">
        <f t="shared" si="4"/>
        <v>0.90982248520709408</v>
      </c>
      <c r="K4" t="s">
        <v>24</v>
      </c>
      <c r="L4">
        <f>(L3/(1-L3))*(7/1)</f>
        <v>47.95338294414497</v>
      </c>
    </row>
    <row r="5" spans="1:12" x14ac:dyDescent="0.45">
      <c r="A5">
        <v>4</v>
      </c>
      <c r="B5">
        <v>5</v>
      </c>
      <c r="C5">
        <v>57</v>
      </c>
      <c r="D5">
        <f t="shared" si="0"/>
        <v>285</v>
      </c>
      <c r="E5">
        <f t="shared" si="1"/>
        <v>25</v>
      </c>
      <c r="F5">
        <f t="shared" si="2"/>
        <v>3249</v>
      </c>
      <c r="G5">
        <f t="shared" si="3"/>
        <v>57.307692307692307</v>
      </c>
      <c r="H5">
        <f t="shared" si="4"/>
        <v>9.4674556213017083E-2</v>
      </c>
      <c r="I5" t="s">
        <v>17</v>
      </c>
      <c r="J5">
        <f>SQRT(SUM(H2:H10)/9)</f>
        <v>1.4901385239342084</v>
      </c>
    </row>
    <row r="6" spans="1:12" x14ac:dyDescent="0.45">
      <c r="A6">
        <v>5</v>
      </c>
      <c r="B6">
        <v>7</v>
      </c>
      <c r="C6">
        <v>63</v>
      </c>
      <c r="D6">
        <f t="shared" si="0"/>
        <v>441</v>
      </c>
      <c r="E6">
        <f t="shared" si="1"/>
        <v>49</v>
      </c>
      <c r="F6">
        <f t="shared" si="2"/>
        <v>3969</v>
      </c>
      <c r="G6">
        <f t="shared" si="3"/>
        <v>61.661538461538456</v>
      </c>
      <c r="H6">
        <f t="shared" si="4"/>
        <v>1.7914792899408443</v>
      </c>
      <c r="I6" t="s">
        <v>18</v>
      </c>
      <c r="J6">
        <f>SQRT(AVERAGE(E2:E10)-AVERAGE(B2:B10)^2)</f>
        <v>1.7916128329552332</v>
      </c>
      <c r="L6" s="2">
        <f>J2*(AVERAGE(B2:B10)/AVERAGE(C2:C10))</f>
        <v>0.15423544067268763</v>
      </c>
    </row>
    <row r="7" spans="1:12" x14ac:dyDescent="0.45">
      <c r="A7">
        <v>6</v>
      </c>
      <c r="B7">
        <v>3</v>
      </c>
      <c r="C7">
        <v>50</v>
      </c>
      <c r="D7">
        <f t="shared" si="0"/>
        <v>150</v>
      </c>
      <c r="E7">
        <f t="shared" si="1"/>
        <v>9</v>
      </c>
      <c r="F7">
        <f t="shared" si="2"/>
        <v>2500</v>
      </c>
      <c r="G7">
        <f t="shared" si="3"/>
        <v>52.95384615384615</v>
      </c>
      <c r="H7">
        <f t="shared" si="4"/>
        <v>8.725207100591696</v>
      </c>
      <c r="I7" t="s">
        <v>19</v>
      </c>
      <c r="J7">
        <f>ABS(J3) * SQRT(9-2)/J5</f>
        <v>82.424495884186641</v>
      </c>
    </row>
    <row r="8" spans="1:12" x14ac:dyDescent="0.45">
      <c r="A8">
        <v>7</v>
      </c>
      <c r="B8">
        <v>6</v>
      </c>
      <c r="C8">
        <v>59</v>
      </c>
      <c r="D8">
        <f t="shared" si="0"/>
        <v>354</v>
      </c>
      <c r="E8">
        <f t="shared" si="1"/>
        <v>36</v>
      </c>
      <c r="F8">
        <f t="shared" si="2"/>
        <v>3481</v>
      </c>
      <c r="G8">
        <f t="shared" si="3"/>
        <v>59.484615384615381</v>
      </c>
      <c r="H8">
        <f t="shared" si="4"/>
        <v>0.23485207100591377</v>
      </c>
      <c r="I8" t="s">
        <v>20</v>
      </c>
      <c r="J8">
        <f>ABS(J2) * SQRT(9-2)/(J5/J6)</f>
        <v>6.924838116818691</v>
      </c>
    </row>
    <row r="9" spans="1:12" x14ac:dyDescent="0.45">
      <c r="A9">
        <v>8</v>
      </c>
      <c r="B9">
        <v>4</v>
      </c>
      <c r="C9">
        <v>57</v>
      </c>
      <c r="D9">
        <f t="shared" si="0"/>
        <v>228</v>
      </c>
      <c r="E9">
        <f t="shared" si="1"/>
        <v>16</v>
      </c>
      <c r="F9">
        <f t="shared" si="2"/>
        <v>3249</v>
      </c>
      <c r="G9">
        <f t="shared" si="3"/>
        <v>55.130769230769225</v>
      </c>
      <c r="H9">
        <f t="shared" si="4"/>
        <v>3.4940236686390751</v>
      </c>
      <c r="I9" t="s">
        <v>21</v>
      </c>
      <c r="J9">
        <v>7</v>
      </c>
    </row>
    <row r="10" spans="1:12" x14ac:dyDescent="0.45">
      <c r="A10">
        <v>9</v>
      </c>
      <c r="B10">
        <v>1</v>
      </c>
      <c r="C10">
        <v>50</v>
      </c>
      <c r="D10">
        <f t="shared" si="0"/>
        <v>50</v>
      </c>
      <c r="E10">
        <f t="shared" si="1"/>
        <v>1</v>
      </c>
      <c r="F10">
        <f t="shared" si="2"/>
        <v>2500</v>
      </c>
      <c r="G10">
        <f t="shared" si="3"/>
        <v>48.599999999999994</v>
      </c>
      <c r="H10">
        <f t="shared" si="4"/>
        <v>1.960000000000016</v>
      </c>
    </row>
    <row r="11" spans="1:12" x14ac:dyDescent="0.45">
      <c r="A11" t="s">
        <v>13</v>
      </c>
      <c r="B11">
        <f>SUM(B2:B10)</f>
        <v>35</v>
      </c>
      <c r="C11">
        <f t="shared" ref="C11:G11" si="5">SUM(C2:C10)</f>
        <v>494</v>
      </c>
      <c r="D11">
        <f t="shared" si="5"/>
        <v>1984</v>
      </c>
      <c r="E11">
        <f t="shared" si="5"/>
        <v>165</v>
      </c>
      <c r="F11">
        <f t="shared" si="5"/>
        <v>27272</v>
      </c>
      <c r="G11">
        <f t="shared" si="5"/>
        <v>493.99999999999989</v>
      </c>
    </row>
    <row r="12" spans="1:12" x14ac:dyDescent="0.45">
      <c r="A12" t="s">
        <v>14</v>
      </c>
      <c r="B12">
        <f>AVERAGEA(B2:B10)</f>
        <v>3.8888888888888888</v>
      </c>
      <c r="C12">
        <f t="shared" ref="C12:F12" si="6">AVERAGEA(C2:C10)</f>
        <v>54.888888888888886</v>
      </c>
      <c r="D12">
        <f t="shared" si="6"/>
        <v>220.44444444444446</v>
      </c>
      <c r="E12">
        <f t="shared" si="6"/>
        <v>18.333333333333332</v>
      </c>
      <c r="F12">
        <f t="shared" si="6"/>
        <v>3030.2222222222222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BFC95-FB62-454A-8DFD-E6026B23C1F3}">
  <dimension ref="A1:M28"/>
  <sheetViews>
    <sheetView zoomScale="69" workbookViewId="0">
      <selection activeCell="L20" sqref="L20"/>
    </sheetView>
  </sheetViews>
  <sheetFormatPr defaultRowHeight="14.25" x14ac:dyDescent="0.45"/>
  <cols>
    <col min="1" max="1" width="9.1328125" bestFit="1" customWidth="1"/>
    <col min="2" max="2" width="11.1328125" bestFit="1" customWidth="1"/>
    <col min="3" max="9" width="9.1328125" bestFit="1" customWidth="1"/>
    <col min="10" max="10" width="11.265625" bestFit="1" customWidth="1"/>
    <col min="11" max="12" width="9.1328125" bestFit="1" customWidth="1"/>
    <col min="13" max="13" width="11.1328125" bestFit="1" customWidth="1"/>
  </cols>
  <sheetData>
    <row r="1" spans="1:13" ht="60" x14ac:dyDescent="0.45">
      <c r="A1" s="3" t="s">
        <v>7</v>
      </c>
      <c r="B1" s="3" t="s">
        <v>49</v>
      </c>
      <c r="C1" s="3" t="s">
        <v>50</v>
      </c>
      <c r="D1" s="4" t="s">
        <v>25</v>
      </c>
      <c r="E1" s="4" t="s">
        <v>26</v>
      </c>
      <c r="F1" s="4" t="s">
        <v>27</v>
      </c>
      <c r="G1" s="4" t="s">
        <v>28</v>
      </c>
      <c r="H1" s="4" t="s">
        <v>29</v>
      </c>
      <c r="I1" s="4" t="s">
        <v>30</v>
      </c>
      <c r="J1" s="4" t="s">
        <v>31</v>
      </c>
      <c r="K1" s="4" t="s">
        <v>11</v>
      </c>
      <c r="L1" s="4" t="s">
        <v>32</v>
      </c>
      <c r="M1" s="4" t="s">
        <v>33</v>
      </c>
    </row>
    <row r="2" spans="1:13" ht="15.75" x14ac:dyDescent="0.5">
      <c r="A2" s="5">
        <v>1</v>
      </c>
      <c r="B2" s="6">
        <v>0.63</v>
      </c>
      <c r="C2" s="6">
        <v>945</v>
      </c>
      <c r="D2" s="7">
        <f>POWER(B2,2)</f>
        <v>0.39690000000000003</v>
      </c>
      <c r="E2" s="7">
        <f>POWER(B2,3)</f>
        <v>0.25004700000000002</v>
      </c>
      <c r="F2" s="7">
        <f>POWER(B2,4)</f>
        <v>0.15752961000000001</v>
      </c>
      <c r="G2" s="7">
        <f>B2*C2</f>
        <v>595.35</v>
      </c>
      <c r="H2" s="7">
        <f>D2*C2</f>
        <v>375.07050000000004</v>
      </c>
      <c r="I2" s="7">
        <f>C2-$C$13</f>
        <v>-691</v>
      </c>
      <c r="J2" s="7">
        <f>POWER(C2-$C$13,2)</f>
        <v>477481</v>
      </c>
      <c r="K2" s="7">
        <f>$E$20+B2*$E$21+B2*B2*$E$22</f>
        <v>930.8665874090027</v>
      </c>
      <c r="L2" s="7">
        <f>K2-$C$13</f>
        <v>-705.1334125909973</v>
      </c>
      <c r="M2" s="7">
        <f>POWER(K2-$C$13,2)</f>
        <v>497213.12955222564</v>
      </c>
    </row>
    <row r="3" spans="1:13" ht="15.75" x14ac:dyDescent="0.5">
      <c r="A3" s="5">
        <v>2</v>
      </c>
      <c r="B3" s="6">
        <v>0.72</v>
      </c>
      <c r="C3" s="6">
        <v>1100</v>
      </c>
      <c r="D3" s="7">
        <f t="shared" ref="D3:D10" si="0">POWER(B3,2)</f>
        <v>0.51839999999999997</v>
      </c>
      <c r="E3" s="7">
        <f t="shared" ref="E3:E10" si="1">POWER(B3,3)</f>
        <v>0.37324799999999997</v>
      </c>
      <c r="F3" s="7">
        <f t="shared" ref="F3:F10" si="2">POWER(B3,4)</f>
        <v>0.26873855999999996</v>
      </c>
      <c r="G3" s="7">
        <f t="shared" ref="G3:G10" si="3">B3*C3</f>
        <v>792</v>
      </c>
      <c r="H3" s="7">
        <f t="shared" ref="H3:H10" si="4">D3*C3</f>
        <v>570.24</v>
      </c>
      <c r="I3" s="7">
        <f t="shared" ref="I3:I10" si="5">C3-$C$13</f>
        <v>-536</v>
      </c>
      <c r="J3" s="7">
        <f t="shared" ref="J3:J10" si="6">POWER(C3-$C$13,2)</f>
        <v>287296</v>
      </c>
      <c r="K3" s="7">
        <f t="shared" ref="K3:K10" si="7">$E$20+B3*$E$21+B3*B3*$E$22</f>
        <v>1113.1039521692201</v>
      </c>
      <c r="L3" s="7">
        <f t="shared" ref="L3:L10" si="8">K3-$C$13</f>
        <v>-522.89604783077993</v>
      </c>
      <c r="M3" s="7">
        <f t="shared" ref="M3:M10" si="9">POWER(K3-$C$13,2)</f>
        <v>273420.27683704928</v>
      </c>
    </row>
    <row r="4" spans="1:13" ht="15.75" x14ac:dyDescent="0.5">
      <c r="A4" s="5">
        <v>3</v>
      </c>
      <c r="B4" s="6">
        <v>0.81</v>
      </c>
      <c r="C4" s="6">
        <v>1356</v>
      </c>
      <c r="D4" s="7">
        <f t="shared" si="0"/>
        <v>0.65610000000000013</v>
      </c>
      <c r="E4" s="7">
        <f t="shared" si="1"/>
        <v>0.53144100000000016</v>
      </c>
      <c r="F4" s="7">
        <f t="shared" si="2"/>
        <v>0.43046721000000016</v>
      </c>
      <c r="G4" s="7">
        <f t="shared" si="3"/>
        <v>1098.3600000000001</v>
      </c>
      <c r="H4" s="7">
        <f t="shared" si="4"/>
        <v>889.67160000000013</v>
      </c>
      <c r="I4" s="7">
        <f t="shared" si="5"/>
        <v>-280</v>
      </c>
      <c r="J4" s="7">
        <f t="shared" si="6"/>
        <v>78400</v>
      </c>
      <c r="K4" s="7">
        <f t="shared" si="7"/>
        <v>1282.1306503757964</v>
      </c>
      <c r="L4" s="7">
        <f t="shared" si="8"/>
        <v>-353.86934962420355</v>
      </c>
      <c r="M4" s="7">
        <f t="shared" si="9"/>
        <v>125223.51660345681</v>
      </c>
    </row>
    <row r="5" spans="1:13" ht="15.75" x14ac:dyDescent="0.5">
      <c r="A5" s="5">
        <v>4</v>
      </c>
      <c r="B5" s="6">
        <v>0.93</v>
      </c>
      <c r="C5" s="6">
        <v>1400</v>
      </c>
      <c r="D5" s="7">
        <f t="shared" si="0"/>
        <v>0.86490000000000011</v>
      </c>
      <c r="E5" s="7">
        <f t="shared" si="1"/>
        <v>0.8043570000000001</v>
      </c>
      <c r="F5" s="7">
        <f t="shared" si="2"/>
        <v>0.74805201000000021</v>
      </c>
      <c r="G5" s="7">
        <f t="shared" si="3"/>
        <v>1302</v>
      </c>
      <c r="H5" s="7">
        <f t="shared" si="4"/>
        <v>1210.8600000000001</v>
      </c>
      <c r="I5" s="7">
        <f t="shared" si="5"/>
        <v>-236</v>
      </c>
      <c r="J5" s="7">
        <f t="shared" si="6"/>
        <v>55696</v>
      </c>
      <c r="K5" s="7">
        <f t="shared" si="7"/>
        <v>1486.9496555677902</v>
      </c>
      <c r="L5" s="7">
        <f t="shared" si="8"/>
        <v>-149.05034443220984</v>
      </c>
      <c r="M5" s="7">
        <f t="shared" si="9"/>
        <v>22216.005175360388</v>
      </c>
    </row>
    <row r="6" spans="1:13" ht="15.75" x14ac:dyDescent="0.5">
      <c r="A6" s="5">
        <v>5</v>
      </c>
      <c r="B6" s="6">
        <v>0.99</v>
      </c>
      <c r="C6" s="6">
        <v>1550</v>
      </c>
      <c r="D6" s="7">
        <f t="shared" si="0"/>
        <v>0.98009999999999997</v>
      </c>
      <c r="E6" s="7">
        <f t="shared" si="1"/>
        <v>0.97029899999999991</v>
      </c>
      <c r="F6" s="7">
        <f t="shared" si="2"/>
        <v>0.96059600999999994</v>
      </c>
      <c r="G6" s="7">
        <f t="shared" si="3"/>
        <v>1534.5</v>
      </c>
      <c r="H6" s="7">
        <f t="shared" si="4"/>
        <v>1519.155</v>
      </c>
      <c r="I6" s="7">
        <f t="shared" si="5"/>
        <v>-86</v>
      </c>
      <c r="J6" s="7">
        <f t="shared" si="6"/>
        <v>7396</v>
      </c>
      <c r="K6" s="7">
        <f t="shared" si="7"/>
        <v>1580.5520471280261</v>
      </c>
      <c r="L6" s="7">
        <f t="shared" si="8"/>
        <v>-55.447952871973939</v>
      </c>
      <c r="M6" s="7">
        <f t="shared" si="9"/>
        <v>3074.4754776926429</v>
      </c>
    </row>
    <row r="7" spans="1:13" ht="15.75" x14ac:dyDescent="0.5">
      <c r="A7" s="5">
        <v>6</v>
      </c>
      <c r="B7" s="6">
        <v>1.2</v>
      </c>
      <c r="C7" s="6">
        <v>1800</v>
      </c>
      <c r="D7" s="7">
        <f t="shared" si="0"/>
        <v>1.44</v>
      </c>
      <c r="E7" s="7">
        <f t="shared" si="1"/>
        <v>1.728</v>
      </c>
      <c r="F7" s="7">
        <f t="shared" si="2"/>
        <v>2.0735999999999999</v>
      </c>
      <c r="G7" s="7">
        <f t="shared" si="3"/>
        <v>2160</v>
      </c>
      <c r="H7" s="7">
        <f t="shared" si="4"/>
        <v>2592</v>
      </c>
      <c r="I7" s="7">
        <f t="shared" si="5"/>
        <v>164</v>
      </c>
      <c r="J7" s="7">
        <f t="shared" si="6"/>
        <v>26896</v>
      </c>
      <c r="K7" s="7">
        <f t="shared" si="7"/>
        <v>1861.9230846511089</v>
      </c>
      <c r="L7" s="7">
        <f t="shared" si="8"/>
        <v>225.92308465110887</v>
      </c>
      <c r="M7" s="7">
        <f t="shared" si="9"/>
        <v>51041.240178272099</v>
      </c>
    </row>
    <row r="8" spans="1:13" ht="15.75" x14ac:dyDescent="0.5">
      <c r="A8" s="5">
        <v>7</v>
      </c>
      <c r="B8" s="6">
        <v>1.33</v>
      </c>
      <c r="C8" s="6">
        <v>2152</v>
      </c>
      <c r="D8" s="7">
        <f t="shared" si="0"/>
        <v>1.7689000000000001</v>
      </c>
      <c r="E8" s="7">
        <f t="shared" si="1"/>
        <v>2.3526370000000001</v>
      </c>
      <c r="F8" s="7">
        <f t="shared" si="2"/>
        <v>3.1290072100000006</v>
      </c>
      <c r="G8" s="7">
        <f t="shared" si="3"/>
        <v>2862.1600000000003</v>
      </c>
      <c r="H8" s="7">
        <f t="shared" si="4"/>
        <v>3806.6728000000003</v>
      </c>
      <c r="I8" s="7">
        <f t="shared" si="5"/>
        <v>516</v>
      </c>
      <c r="J8" s="7">
        <f t="shared" si="6"/>
        <v>266256</v>
      </c>
      <c r="K8" s="7">
        <f t="shared" si="7"/>
        <v>2000.0612381116373</v>
      </c>
      <c r="L8" s="7">
        <f t="shared" si="8"/>
        <v>364.06123811163729</v>
      </c>
      <c r="M8" s="7">
        <f t="shared" si="9"/>
        <v>132540.58509537828</v>
      </c>
    </row>
    <row r="9" spans="1:13" ht="15.75" x14ac:dyDescent="0.5">
      <c r="A9" s="5">
        <v>8</v>
      </c>
      <c r="B9" s="6">
        <v>1.6</v>
      </c>
      <c r="C9" s="6">
        <v>2152</v>
      </c>
      <c r="D9" s="7">
        <f t="shared" si="0"/>
        <v>2.5600000000000005</v>
      </c>
      <c r="E9" s="7">
        <f t="shared" si="1"/>
        <v>4.096000000000001</v>
      </c>
      <c r="F9" s="7">
        <f t="shared" si="2"/>
        <v>6.553600000000003</v>
      </c>
      <c r="G9" s="7">
        <f t="shared" si="3"/>
        <v>3443.2000000000003</v>
      </c>
      <c r="H9" s="7">
        <f t="shared" si="4"/>
        <v>5509.1200000000008</v>
      </c>
      <c r="I9" s="7">
        <f t="shared" si="5"/>
        <v>516</v>
      </c>
      <c r="J9" s="7">
        <f t="shared" si="6"/>
        <v>266256</v>
      </c>
      <c r="K9" s="7">
        <f t="shared" si="7"/>
        <v>2198.8924464797437</v>
      </c>
      <c r="L9" s="7">
        <f t="shared" si="8"/>
        <v>562.89244647974374</v>
      </c>
      <c r="M9" s="7">
        <f t="shared" si="9"/>
        <v>316847.90630395117</v>
      </c>
    </row>
    <row r="10" spans="1:13" ht="15.75" x14ac:dyDescent="0.5">
      <c r="A10" s="5">
        <v>9</v>
      </c>
      <c r="B10" s="6">
        <v>1.8</v>
      </c>
      <c r="C10" s="6">
        <v>2269</v>
      </c>
      <c r="D10" s="7">
        <f t="shared" si="0"/>
        <v>3.24</v>
      </c>
      <c r="E10" s="7">
        <f t="shared" si="1"/>
        <v>5.8320000000000007</v>
      </c>
      <c r="F10" s="7">
        <f t="shared" si="2"/>
        <v>10.497600000000002</v>
      </c>
      <c r="G10" s="7">
        <f t="shared" si="3"/>
        <v>4084.2000000000003</v>
      </c>
      <c r="H10" s="7">
        <f t="shared" si="4"/>
        <v>7351.56</v>
      </c>
      <c r="I10" s="7">
        <f t="shared" si="5"/>
        <v>633</v>
      </c>
      <c r="J10" s="7">
        <f t="shared" si="6"/>
        <v>400689</v>
      </c>
      <c r="K10" s="7">
        <f t="shared" si="7"/>
        <v>2269.5203381078309</v>
      </c>
      <c r="L10" s="7">
        <f t="shared" si="8"/>
        <v>633.52033810783087</v>
      </c>
      <c r="M10" s="7">
        <f t="shared" si="9"/>
        <v>401348.01879626035</v>
      </c>
    </row>
    <row r="11" spans="1:13" ht="15.75" x14ac:dyDescent="0.5">
      <c r="A11" s="5"/>
      <c r="B11" s="6"/>
      <c r="C11" s="6"/>
      <c r="D11" s="7"/>
      <c r="E11" s="7"/>
      <c r="F11" s="7"/>
      <c r="G11" s="7"/>
      <c r="H11" s="7"/>
      <c r="I11" s="7"/>
      <c r="J11" s="7"/>
      <c r="K11" s="7"/>
      <c r="L11" s="7"/>
      <c r="M11" s="7"/>
    </row>
    <row r="12" spans="1:13" ht="15.75" x14ac:dyDescent="0.5">
      <c r="A12" s="8" t="s">
        <v>34</v>
      </c>
      <c r="B12" s="7">
        <f>SUM(B2:B11)</f>
        <v>10.010000000000002</v>
      </c>
      <c r="C12" s="7">
        <f t="shared" ref="C12:M12" si="10">SUM(C2:C11)</f>
        <v>14724</v>
      </c>
      <c r="D12" s="7">
        <f t="shared" si="10"/>
        <v>12.425300000000002</v>
      </c>
      <c r="E12" s="7">
        <f t="shared" si="10"/>
        <v>16.938029</v>
      </c>
      <c r="F12" s="7">
        <f t="shared" si="10"/>
        <v>24.819190610000007</v>
      </c>
      <c r="G12" s="7">
        <f t="shared" si="10"/>
        <v>17871.77</v>
      </c>
      <c r="H12" s="7">
        <f t="shared" si="10"/>
        <v>23824.349900000005</v>
      </c>
      <c r="I12" s="7">
        <f t="shared" si="10"/>
        <v>0</v>
      </c>
      <c r="J12" s="7">
        <f t="shared" si="10"/>
        <v>1866366</v>
      </c>
      <c r="K12" s="7">
        <f t="shared" si="10"/>
        <v>14724.000000000156</v>
      </c>
      <c r="L12" s="7">
        <f t="shared" si="10"/>
        <v>1.5620571502950042E-10</v>
      </c>
      <c r="M12" s="7">
        <f t="shared" si="10"/>
        <v>1822925.1540196468</v>
      </c>
    </row>
    <row r="13" spans="1:13" ht="15.75" x14ac:dyDescent="0.5">
      <c r="A13" s="8" t="s">
        <v>35</v>
      </c>
      <c r="B13" s="7"/>
      <c r="C13" s="7">
        <f>C12/$A$10</f>
        <v>1636</v>
      </c>
      <c r="D13" s="7"/>
      <c r="E13" s="7"/>
      <c r="F13" s="7"/>
      <c r="G13" s="7"/>
      <c r="H13" s="7"/>
      <c r="I13" s="7"/>
      <c r="J13" s="7"/>
      <c r="K13" s="7"/>
      <c r="L13" s="7"/>
      <c r="M13" s="7"/>
    </row>
    <row r="15" spans="1:13" x14ac:dyDescent="0.45">
      <c r="A15" s="35" t="s">
        <v>36</v>
      </c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</row>
    <row r="16" spans="1:13" x14ac:dyDescent="0.45">
      <c r="A16" s="9">
        <f>$C$12</f>
        <v>14724</v>
      </c>
      <c r="B16">
        <f>$A$10</f>
        <v>9</v>
      </c>
      <c r="C16" s="9">
        <f>$B$12</f>
        <v>10.010000000000002</v>
      </c>
      <c r="D16" s="9">
        <f>$D$12</f>
        <v>12.425300000000002</v>
      </c>
      <c r="F16" s="9">
        <f>$C$12</f>
        <v>14724</v>
      </c>
      <c r="G16" s="9">
        <f>$B$12</f>
        <v>10.010000000000002</v>
      </c>
      <c r="H16" s="9">
        <f>$D$12</f>
        <v>12.425300000000002</v>
      </c>
      <c r="J16">
        <f>$A$10</f>
        <v>9</v>
      </c>
      <c r="K16" s="9">
        <f>$C$12</f>
        <v>14724</v>
      </c>
      <c r="L16" s="9">
        <f>$D$12</f>
        <v>12.425300000000002</v>
      </c>
    </row>
    <row r="17" spans="1:12" x14ac:dyDescent="0.45">
      <c r="A17" s="9">
        <f>$G$12</f>
        <v>17871.77</v>
      </c>
      <c r="B17" s="9">
        <f>$B$12</f>
        <v>10.010000000000002</v>
      </c>
      <c r="C17" s="9">
        <f>$D$12</f>
        <v>12.425300000000002</v>
      </c>
      <c r="D17" s="9">
        <f>$E$12</f>
        <v>16.938029</v>
      </c>
      <c r="F17" s="9">
        <f>$G$12</f>
        <v>17871.77</v>
      </c>
      <c r="G17" s="9">
        <f>$D$12</f>
        <v>12.425300000000002</v>
      </c>
      <c r="H17" s="9">
        <f>$E$12</f>
        <v>16.938029</v>
      </c>
      <c r="J17" s="9">
        <f>$B$12</f>
        <v>10.010000000000002</v>
      </c>
      <c r="K17" s="9">
        <f>$G$12</f>
        <v>17871.77</v>
      </c>
      <c r="L17" s="9">
        <f>$E$12</f>
        <v>16.938029</v>
      </c>
    </row>
    <row r="18" spans="1:12" x14ac:dyDescent="0.45">
      <c r="A18" s="9">
        <f>$H$12</f>
        <v>23824.349900000005</v>
      </c>
      <c r="B18" s="9">
        <f>$D$12</f>
        <v>12.425300000000002</v>
      </c>
      <c r="C18" s="9">
        <f>$E$12</f>
        <v>16.938029</v>
      </c>
      <c r="D18" s="9">
        <f>$F$12</f>
        <v>24.819190610000007</v>
      </c>
      <c r="F18" s="9">
        <f>$H$12</f>
        <v>23824.349900000005</v>
      </c>
      <c r="G18" s="9">
        <f>$E$12</f>
        <v>16.938029</v>
      </c>
      <c r="H18" s="9">
        <f>$F$12</f>
        <v>24.819190610000007</v>
      </c>
      <c r="J18" s="9">
        <f>$D$12</f>
        <v>12.425300000000002</v>
      </c>
      <c r="K18" s="9">
        <f>$H$12</f>
        <v>23824.349900000005</v>
      </c>
      <c r="L18" s="9">
        <f>$F$12</f>
        <v>24.819190610000007</v>
      </c>
    </row>
    <row r="20" spans="1:12" x14ac:dyDescent="0.45">
      <c r="A20" t="s">
        <v>37</v>
      </c>
      <c r="B20">
        <f>MDETERM(B16:D18)</f>
        <v>1.6090080596641012</v>
      </c>
      <c r="D20" t="s">
        <v>38</v>
      </c>
      <c r="E20">
        <f>B21/B20</f>
        <v>-714.69362941446605</v>
      </c>
    </row>
    <row r="21" spans="1:12" x14ac:dyDescent="0.45">
      <c r="A21" t="s">
        <v>39</v>
      </c>
      <c r="B21" s="9">
        <f>MDETERM(F16:H18)</f>
        <v>-1149.9478099184641</v>
      </c>
      <c r="D21" t="s">
        <v>40</v>
      </c>
      <c r="E21">
        <f>B22/B20</f>
        <v>3125.7484879169415</v>
      </c>
    </row>
    <row r="22" spans="1:12" x14ac:dyDescent="0.45">
      <c r="A22" t="s">
        <v>41</v>
      </c>
      <c r="B22">
        <f>MDETERM(J16:L18)</f>
        <v>5029.3545095412364</v>
      </c>
      <c r="D22" t="s">
        <v>42</v>
      </c>
      <c r="E22">
        <f>B23/B20</f>
        <v>-815.47324405191284</v>
      </c>
    </row>
    <row r="23" spans="1:12" x14ac:dyDescent="0.45">
      <c r="A23" t="s">
        <v>43</v>
      </c>
      <c r="B23">
        <f>MDETERM(A16:C18)</f>
        <v>-1312.1030221199583</v>
      </c>
    </row>
    <row r="24" spans="1:12" x14ac:dyDescent="0.45">
      <c r="A24" s="35" t="s">
        <v>44</v>
      </c>
      <c r="B24" s="35"/>
    </row>
    <row r="25" spans="1:12" x14ac:dyDescent="0.45">
      <c r="A25" t="s">
        <v>45</v>
      </c>
      <c r="B25">
        <f>SQRT(M12/J12)</f>
        <v>0.98829366545865538</v>
      </c>
    </row>
    <row r="26" spans="1:12" x14ac:dyDescent="0.45">
      <c r="A26" s="36" t="s">
        <v>46</v>
      </c>
      <c r="B26" s="36"/>
    </row>
    <row r="27" spans="1:12" x14ac:dyDescent="0.45">
      <c r="A27" t="s">
        <v>47</v>
      </c>
      <c r="B27" s="1">
        <f>(1-B25*B25)/SQRT(A10-1)</f>
        <v>8.2291781925914204E-3</v>
      </c>
    </row>
    <row r="28" spans="1:12" x14ac:dyDescent="0.45">
      <c r="A28" t="s">
        <v>48</v>
      </c>
      <c r="B28">
        <f>B25/B27</f>
        <v>120.09627721373177</v>
      </c>
    </row>
  </sheetData>
  <mergeCells count="3">
    <mergeCell ref="A15:L15"/>
    <mergeCell ref="A24:B24"/>
    <mergeCell ref="A26:B2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2A349-E08C-4EF9-852D-1395A2DE412E}">
  <dimension ref="A1:Z19"/>
  <sheetViews>
    <sheetView workbookViewId="0">
      <selection activeCell="J9" sqref="J9"/>
    </sheetView>
  </sheetViews>
  <sheetFormatPr defaultRowHeight="14.25" x14ac:dyDescent="0.45"/>
  <cols>
    <col min="5" max="5" width="10.3984375" customWidth="1"/>
  </cols>
  <sheetData>
    <row r="1" spans="1:26" x14ac:dyDescent="0.45">
      <c r="A1" t="s">
        <v>0</v>
      </c>
      <c r="B1" t="s">
        <v>2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11</v>
      </c>
      <c r="L1" t="s">
        <v>16</v>
      </c>
      <c r="M1" t="s">
        <v>58</v>
      </c>
      <c r="N1" t="s">
        <v>15</v>
      </c>
    </row>
    <row r="2" spans="1:26" x14ac:dyDescent="0.45">
      <c r="A2">
        <v>1</v>
      </c>
      <c r="B2" s="10">
        <v>36.299999999999997</v>
      </c>
      <c r="C2" s="10">
        <v>17.600000000000001</v>
      </c>
      <c r="D2" s="10">
        <v>12</v>
      </c>
      <c r="E2">
        <f>B2*C2</f>
        <v>638.88</v>
      </c>
      <c r="F2">
        <f>B2*D2</f>
        <v>435.59999999999997</v>
      </c>
      <c r="G2">
        <f>C2^2</f>
        <v>309.76000000000005</v>
      </c>
      <c r="H2">
        <f>D2^2</f>
        <v>144</v>
      </c>
      <c r="I2">
        <f>C2*D2</f>
        <v>211.20000000000002</v>
      </c>
      <c r="J2">
        <f>$N$2+$M$2*C2+$L$2*D2</f>
        <v>34.176067904575731</v>
      </c>
      <c r="L2" cm="1">
        <f t="array" ref="L2:N2">LINEST(B2:B9, C2:D9)</f>
        <v>-1.5224072962670834</v>
      </c>
      <c r="M2">
        <v>0.52906632470467962</v>
      </c>
      <c r="N2">
        <v>43.133388144978369</v>
      </c>
    </row>
    <row r="3" spans="1:26" x14ac:dyDescent="0.45">
      <c r="A3">
        <v>2</v>
      </c>
      <c r="B3" s="10">
        <v>31.9</v>
      </c>
      <c r="C3" s="10">
        <v>20.8</v>
      </c>
      <c r="D3" s="10">
        <v>13.5</v>
      </c>
      <c r="E3">
        <f t="shared" ref="E3:E9" si="0">B3*C3</f>
        <v>663.52</v>
      </c>
      <c r="F3">
        <f t="shared" ref="F3:F9" si="1">B3*D3</f>
        <v>430.65</v>
      </c>
      <c r="G3">
        <f t="shared" ref="G3:G9" si="2">C3^2</f>
        <v>432.64000000000004</v>
      </c>
      <c r="H3">
        <f t="shared" ref="H3:H9" si="3">D3^2</f>
        <v>182.25</v>
      </c>
      <c r="I3">
        <f t="shared" ref="I3:I9" si="4">C3*D3</f>
        <v>280.8</v>
      </c>
      <c r="J3">
        <f t="shared" ref="J3:J9" si="5">$N$2+$M$2*C3+$L$2*D3</f>
        <v>33.585469199230083</v>
      </c>
    </row>
    <row r="4" spans="1:26" x14ac:dyDescent="0.45">
      <c r="A4">
        <v>3</v>
      </c>
      <c r="B4" s="10">
        <v>30.4</v>
      </c>
      <c r="C4" s="10">
        <v>14.4</v>
      </c>
      <c r="D4" s="10">
        <v>14.2</v>
      </c>
      <c r="E4">
        <f t="shared" si="0"/>
        <v>437.76</v>
      </c>
      <c r="F4">
        <f t="shared" si="1"/>
        <v>431.67999999999995</v>
      </c>
      <c r="G4">
        <f t="shared" si="2"/>
        <v>207.36</v>
      </c>
      <c r="H4">
        <f t="shared" si="3"/>
        <v>201.64</v>
      </c>
      <c r="I4">
        <f t="shared" si="4"/>
        <v>204.48</v>
      </c>
      <c r="J4">
        <f t="shared" si="5"/>
        <v>29.133759613733172</v>
      </c>
    </row>
    <row r="5" spans="1:26" x14ac:dyDescent="0.45">
      <c r="A5">
        <v>4</v>
      </c>
      <c r="B5" s="10">
        <v>36.1</v>
      </c>
      <c r="C5" s="10">
        <v>18.100000000000001</v>
      </c>
      <c r="D5" s="10">
        <v>11.6</v>
      </c>
      <c r="E5">
        <f t="shared" si="0"/>
        <v>653.41000000000008</v>
      </c>
      <c r="F5">
        <f t="shared" si="1"/>
        <v>418.76</v>
      </c>
      <c r="G5">
        <f t="shared" si="2"/>
        <v>327.61000000000007</v>
      </c>
      <c r="H5">
        <f t="shared" si="3"/>
        <v>134.56</v>
      </c>
      <c r="I5">
        <f t="shared" si="4"/>
        <v>209.96</v>
      </c>
      <c r="J5">
        <f t="shared" si="5"/>
        <v>35.049563985434901</v>
      </c>
    </row>
    <row r="6" spans="1:26" x14ac:dyDescent="0.45">
      <c r="A6">
        <v>5</v>
      </c>
      <c r="B6" s="10">
        <v>32.799999999999997</v>
      </c>
      <c r="C6" s="10">
        <v>19.899999999999999</v>
      </c>
      <c r="D6" s="10">
        <v>12.7</v>
      </c>
      <c r="E6">
        <f t="shared" si="0"/>
        <v>652.71999999999991</v>
      </c>
      <c r="F6">
        <f t="shared" si="1"/>
        <v>416.55999999999995</v>
      </c>
      <c r="G6">
        <f t="shared" si="2"/>
        <v>396.00999999999993</v>
      </c>
      <c r="H6">
        <f t="shared" si="3"/>
        <v>161.29</v>
      </c>
      <c r="I6">
        <f t="shared" si="4"/>
        <v>252.72999999999996</v>
      </c>
      <c r="J6">
        <f t="shared" si="5"/>
        <v>34.327235344009537</v>
      </c>
    </row>
    <row r="7" spans="1:26" x14ac:dyDescent="0.45">
      <c r="A7">
        <v>6</v>
      </c>
      <c r="B7" s="10">
        <v>29.5</v>
      </c>
      <c r="C7" s="10">
        <v>17</v>
      </c>
      <c r="D7" s="10">
        <v>14.4</v>
      </c>
      <c r="E7">
        <f t="shared" si="0"/>
        <v>501.5</v>
      </c>
      <c r="F7">
        <f t="shared" si="1"/>
        <v>424.8</v>
      </c>
      <c r="G7">
        <f t="shared" si="2"/>
        <v>289</v>
      </c>
      <c r="H7">
        <f t="shared" si="3"/>
        <v>207.36</v>
      </c>
      <c r="I7">
        <f t="shared" si="4"/>
        <v>244.8</v>
      </c>
      <c r="J7">
        <f t="shared" si="5"/>
        <v>30.204850598711925</v>
      </c>
    </row>
    <row r="8" spans="1:26" x14ac:dyDescent="0.45">
      <c r="A8">
        <v>7</v>
      </c>
      <c r="B8" s="10">
        <v>23.2</v>
      </c>
      <c r="C8" s="10">
        <v>11.7</v>
      </c>
      <c r="D8" s="10">
        <v>18.399999999999999</v>
      </c>
      <c r="E8">
        <f t="shared" si="0"/>
        <v>271.44</v>
      </c>
      <c r="F8">
        <f t="shared" si="1"/>
        <v>426.87999999999994</v>
      </c>
      <c r="G8">
        <f t="shared" si="2"/>
        <v>136.88999999999999</v>
      </c>
      <c r="H8">
        <f t="shared" si="3"/>
        <v>338.55999999999995</v>
      </c>
      <c r="I8">
        <f t="shared" si="4"/>
        <v>215.27999999999997</v>
      </c>
      <c r="J8">
        <f t="shared" si="5"/>
        <v>21.311169892708786</v>
      </c>
    </row>
    <row r="9" spans="1:26" x14ac:dyDescent="0.45">
      <c r="A9">
        <v>8</v>
      </c>
      <c r="B9" s="10">
        <v>20.9</v>
      </c>
      <c r="C9" s="10">
        <v>8</v>
      </c>
      <c r="D9" s="10">
        <v>15.8</v>
      </c>
      <c r="E9">
        <f t="shared" si="0"/>
        <v>167.2</v>
      </c>
      <c r="F9">
        <f t="shared" si="1"/>
        <v>330.21999999999997</v>
      </c>
      <c r="G9">
        <f t="shared" si="2"/>
        <v>64</v>
      </c>
      <c r="H9">
        <f t="shared" si="3"/>
        <v>249.64000000000001</v>
      </c>
      <c r="I9">
        <f t="shared" si="4"/>
        <v>126.4</v>
      </c>
      <c r="J9">
        <f t="shared" si="5"/>
        <v>23.311883461595887</v>
      </c>
    </row>
    <row r="10" spans="1:26" x14ac:dyDescent="0.45">
      <c r="A10" t="s">
        <v>13</v>
      </c>
      <c r="B10">
        <f>SUM(B2:B9)</f>
        <v>241.1</v>
      </c>
      <c r="C10">
        <f t="shared" ref="C10:J10" si="6">SUM(C2:C9)</f>
        <v>127.50000000000001</v>
      </c>
      <c r="D10">
        <f t="shared" si="6"/>
        <v>112.60000000000001</v>
      </c>
      <c r="E10">
        <f t="shared" si="6"/>
        <v>3986.43</v>
      </c>
      <c r="F10">
        <f t="shared" si="6"/>
        <v>3315.15</v>
      </c>
      <c r="G10">
        <f t="shared" si="6"/>
        <v>2163.27</v>
      </c>
      <c r="H10">
        <f t="shared" si="6"/>
        <v>1619.3</v>
      </c>
      <c r="I10">
        <f t="shared" si="6"/>
        <v>1745.65</v>
      </c>
      <c r="J10">
        <f t="shared" si="6"/>
        <v>241.1</v>
      </c>
    </row>
    <row r="12" spans="1:26" x14ac:dyDescent="0.45">
      <c r="L12">
        <v>8</v>
      </c>
      <c r="M12">
        <v>127.5</v>
      </c>
      <c r="N12">
        <v>112.6</v>
      </c>
      <c r="P12">
        <v>241.1</v>
      </c>
      <c r="Q12">
        <v>127.5</v>
      </c>
      <c r="R12">
        <v>112.6</v>
      </c>
      <c r="T12">
        <v>8</v>
      </c>
      <c r="U12">
        <v>241.1</v>
      </c>
      <c r="V12">
        <v>112.6</v>
      </c>
      <c r="X12">
        <v>8</v>
      </c>
      <c r="Y12">
        <v>127.5</v>
      </c>
      <c r="Z12">
        <v>241.1</v>
      </c>
    </row>
    <row r="13" spans="1:26" x14ac:dyDescent="0.45">
      <c r="L13">
        <v>127.5</v>
      </c>
      <c r="M13">
        <v>2163.27</v>
      </c>
      <c r="N13">
        <v>1745.65</v>
      </c>
      <c r="P13">
        <v>3986.43</v>
      </c>
      <c r="Q13">
        <v>2163.27</v>
      </c>
      <c r="R13">
        <v>1745.65</v>
      </c>
      <c r="T13">
        <v>127.5</v>
      </c>
      <c r="U13">
        <v>3986.43</v>
      </c>
      <c r="V13">
        <v>1745.65</v>
      </c>
      <c r="X13">
        <v>127.5</v>
      </c>
      <c r="Y13">
        <v>2163.27</v>
      </c>
      <c r="Z13">
        <v>3986.43</v>
      </c>
    </row>
    <row r="14" spans="1:26" x14ac:dyDescent="0.45">
      <c r="L14">
        <v>112.6</v>
      </c>
      <c r="M14">
        <v>1745.65</v>
      </c>
      <c r="N14">
        <v>1619.3</v>
      </c>
      <c r="P14">
        <v>3315.15</v>
      </c>
      <c r="Q14">
        <v>1745.65</v>
      </c>
      <c r="R14">
        <v>1619.3</v>
      </c>
      <c r="T14">
        <v>112.6</v>
      </c>
      <c r="U14">
        <v>3315.15</v>
      </c>
      <c r="V14">
        <v>1619.3</v>
      </c>
      <c r="X14">
        <v>112.6</v>
      </c>
      <c r="Y14">
        <v>1745.65</v>
      </c>
      <c r="Z14">
        <v>3315.15</v>
      </c>
    </row>
    <row r="16" spans="1:26" x14ac:dyDescent="0.45">
      <c r="L16" t="s">
        <v>37</v>
      </c>
      <c r="M16">
        <f>MDETERM(L12:N14)</f>
        <v>17035.187800000309</v>
      </c>
    </row>
    <row r="17" spans="12:16" x14ac:dyDescent="0.45">
      <c r="L17" t="s">
        <v>59</v>
      </c>
      <c r="M17">
        <f>MDETERM(P12:R14)</f>
        <v>734785.36749999702</v>
      </c>
      <c r="O17" t="s">
        <v>15</v>
      </c>
      <c r="P17">
        <f>M17/M16</f>
        <v>43.133388144977403</v>
      </c>
    </row>
    <row r="18" spans="12:16" x14ac:dyDescent="0.45">
      <c r="L18" t="s">
        <v>60</v>
      </c>
      <c r="M18">
        <f>MDETERM(T12:V14)</f>
        <v>9012.7442000001811</v>
      </c>
      <c r="O18" t="s">
        <v>16</v>
      </c>
      <c r="P18">
        <f>M18/M16</f>
        <v>0.52906632470468085</v>
      </c>
    </row>
    <row r="19" spans="12:16" x14ac:dyDescent="0.45">
      <c r="L19" t="s">
        <v>61</v>
      </c>
      <c r="M19">
        <f>MDETERM(X12:Z14)</f>
        <v>-25934.494200000354</v>
      </c>
      <c r="O19" t="s">
        <v>58</v>
      </c>
      <c r="P19">
        <f>M19/M16</f>
        <v>-1.5224072962670763</v>
      </c>
    </row>
  </sheetData>
  <sortState xmlns:xlrd2="http://schemas.microsoft.com/office/spreadsheetml/2017/richdata2" ref="A2:D9">
    <sortCondition ref="A2:A9"/>
  </sortState>
  <phoneticPr fontId="7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4660E-B09C-4B66-8E8A-7F5AFFC18A2A}">
  <dimension ref="A1:AM35"/>
  <sheetViews>
    <sheetView topLeftCell="A13" workbookViewId="0">
      <selection activeCell="E29" sqref="E29"/>
    </sheetView>
  </sheetViews>
  <sheetFormatPr defaultRowHeight="14.25" x14ac:dyDescent="0.45"/>
  <sheetData>
    <row r="1" spans="1:39" ht="81" x14ac:dyDescent="0.45">
      <c r="A1" s="11" t="s">
        <v>62</v>
      </c>
      <c r="B1" s="11" t="s">
        <v>63</v>
      </c>
      <c r="C1" s="12" t="s">
        <v>64</v>
      </c>
      <c r="D1" s="12" t="s">
        <v>65</v>
      </c>
      <c r="E1" s="13" t="s">
        <v>66</v>
      </c>
      <c r="F1" s="13" t="s">
        <v>67</v>
      </c>
      <c r="G1" s="13" t="s">
        <v>68</v>
      </c>
      <c r="H1" s="13" t="s">
        <v>69</v>
      </c>
      <c r="I1" s="13" t="s">
        <v>10</v>
      </c>
      <c r="J1" s="13" t="s">
        <v>70</v>
      </c>
      <c r="K1" s="13" t="s">
        <v>71</v>
      </c>
      <c r="L1" s="14" t="s">
        <v>72</v>
      </c>
      <c r="M1" s="15"/>
      <c r="N1" s="15"/>
      <c r="O1" s="15"/>
      <c r="P1" s="12"/>
      <c r="Q1" s="12"/>
      <c r="R1" s="11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</row>
    <row r="2" spans="1:39" x14ac:dyDescent="0.45">
      <c r="A2" s="11">
        <v>1</v>
      </c>
      <c r="B2" s="11">
        <v>12</v>
      </c>
      <c r="C2" s="12">
        <v>17.600000000000001</v>
      </c>
      <c r="D2" s="12">
        <v>36.299999999999997</v>
      </c>
      <c r="E2" s="16">
        <f>D2*B2</f>
        <v>435.59999999999997</v>
      </c>
      <c r="F2" s="17">
        <f>D2*C2</f>
        <v>638.88</v>
      </c>
      <c r="G2" s="17">
        <f>B2*B2</f>
        <v>144</v>
      </c>
      <c r="H2" s="17">
        <f>C2*C2</f>
        <v>309.76000000000005</v>
      </c>
      <c r="I2" s="17">
        <f>D2*D2</f>
        <v>1317.6899999999998</v>
      </c>
      <c r="J2" s="17">
        <f>B2*C2</f>
        <v>211.20000000000002</v>
      </c>
      <c r="K2" s="16">
        <f>$E$19+B2*$E$20+C2*$E$21</f>
        <v>34.176067904574907</v>
      </c>
      <c r="L2" s="15">
        <f>D2-K2</f>
        <v>2.12393209542509</v>
      </c>
      <c r="M2" s="15"/>
      <c r="N2" s="15"/>
      <c r="O2" s="15"/>
      <c r="P2" s="12"/>
      <c r="Q2" s="12"/>
      <c r="R2" s="11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</row>
    <row r="3" spans="1:39" x14ac:dyDescent="0.45">
      <c r="A3" s="11">
        <v>2</v>
      </c>
      <c r="B3" s="11">
        <v>13.5</v>
      </c>
      <c r="C3" s="12">
        <v>20.8</v>
      </c>
      <c r="D3" s="12">
        <v>31.9</v>
      </c>
      <c r="E3" s="16">
        <f t="shared" ref="E3:E9" si="0">D3*B3</f>
        <v>430.65</v>
      </c>
      <c r="F3" s="17">
        <f t="shared" ref="F3:F9" si="1">D3*C3</f>
        <v>663.52</v>
      </c>
      <c r="G3" s="17">
        <f t="shared" ref="G3:I9" si="2">B3*B3</f>
        <v>182.25</v>
      </c>
      <c r="H3" s="17">
        <f t="shared" si="2"/>
        <v>432.64000000000004</v>
      </c>
      <c r="I3" s="17">
        <f t="shared" si="2"/>
        <v>1017.6099999999999</v>
      </c>
      <c r="J3" s="17">
        <f t="shared" ref="J3:J9" si="3">B3*C3</f>
        <v>280.8</v>
      </c>
      <c r="K3" s="16">
        <f t="shared" ref="K3:K9" si="4">$E$19+B3*$E$20+C3*$E$21</f>
        <v>33.585469199229216</v>
      </c>
      <c r="L3" s="15">
        <f t="shared" ref="L3:L9" si="5">D3-K3</f>
        <v>-1.6854691992292175</v>
      </c>
      <c r="M3" s="15"/>
      <c r="N3" s="15"/>
      <c r="O3" s="15"/>
      <c r="P3" s="12"/>
      <c r="Q3" s="12"/>
      <c r="R3" s="11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</row>
    <row r="4" spans="1:39" x14ac:dyDescent="0.45">
      <c r="A4" s="11">
        <v>3</v>
      </c>
      <c r="B4" s="11">
        <v>14.2</v>
      </c>
      <c r="C4" s="12">
        <v>14.4</v>
      </c>
      <c r="D4" s="12">
        <v>30.4</v>
      </c>
      <c r="E4" s="16">
        <f t="shared" si="0"/>
        <v>431.67999999999995</v>
      </c>
      <c r="F4" s="17">
        <f t="shared" si="1"/>
        <v>437.76</v>
      </c>
      <c r="G4" s="17">
        <f t="shared" si="2"/>
        <v>201.64</v>
      </c>
      <c r="H4" s="17">
        <f t="shared" si="2"/>
        <v>207.36</v>
      </c>
      <c r="I4" s="17">
        <f t="shared" si="2"/>
        <v>924.16</v>
      </c>
      <c r="J4" s="17">
        <f t="shared" si="3"/>
        <v>204.48</v>
      </c>
      <c r="K4" s="16">
        <f t="shared" si="4"/>
        <v>29.133759613732352</v>
      </c>
      <c r="L4" s="15">
        <f t="shared" si="5"/>
        <v>1.266240386267647</v>
      </c>
      <c r="M4" s="15"/>
      <c r="N4" s="15"/>
      <c r="O4" s="15"/>
      <c r="P4" s="12"/>
      <c r="Q4" s="12"/>
      <c r="R4" s="11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</row>
    <row r="5" spans="1:39" x14ac:dyDescent="0.45">
      <c r="A5" s="11">
        <v>4</v>
      </c>
      <c r="B5" s="11">
        <v>11.6</v>
      </c>
      <c r="C5" s="12">
        <v>18.100000000000001</v>
      </c>
      <c r="D5" s="12">
        <v>36.1</v>
      </c>
      <c r="E5" s="16">
        <f t="shared" si="0"/>
        <v>418.76</v>
      </c>
      <c r="F5" s="17">
        <f t="shared" si="1"/>
        <v>653.41000000000008</v>
      </c>
      <c r="G5" s="17">
        <f t="shared" si="2"/>
        <v>134.56</v>
      </c>
      <c r="H5" s="17">
        <f t="shared" si="2"/>
        <v>327.61000000000007</v>
      </c>
      <c r="I5" s="17">
        <f t="shared" si="2"/>
        <v>1303.21</v>
      </c>
      <c r="J5" s="17">
        <f t="shared" si="3"/>
        <v>209.96</v>
      </c>
      <c r="K5" s="16">
        <f t="shared" si="4"/>
        <v>35.049563985434077</v>
      </c>
      <c r="L5" s="15">
        <f t="shared" si="5"/>
        <v>1.0504360145659248</v>
      </c>
      <c r="M5" s="15"/>
      <c r="N5" s="15"/>
      <c r="O5" s="15"/>
      <c r="P5" s="12"/>
      <c r="Q5" s="12"/>
      <c r="R5" s="11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</row>
    <row r="6" spans="1:39" x14ac:dyDescent="0.45">
      <c r="A6" s="11">
        <v>5</v>
      </c>
      <c r="B6" s="11">
        <v>12.7</v>
      </c>
      <c r="C6" s="12">
        <v>19.899999999999999</v>
      </c>
      <c r="D6" s="12">
        <v>32.799999999999997</v>
      </c>
      <c r="E6" s="16">
        <f t="shared" si="0"/>
        <v>416.55999999999995</v>
      </c>
      <c r="F6" s="17">
        <f t="shared" si="1"/>
        <v>652.71999999999991</v>
      </c>
      <c r="G6" s="17">
        <f t="shared" si="2"/>
        <v>161.29</v>
      </c>
      <c r="H6" s="17">
        <f t="shared" si="2"/>
        <v>396.00999999999993</v>
      </c>
      <c r="I6" s="17">
        <f t="shared" si="2"/>
        <v>1075.8399999999999</v>
      </c>
      <c r="J6" s="17">
        <f t="shared" si="3"/>
        <v>252.72999999999996</v>
      </c>
      <c r="K6" s="16">
        <f t="shared" si="4"/>
        <v>34.327235344008685</v>
      </c>
      <c r="L6" s="15">
        <f t="shared" si="5"/>
        <v>-1.5272353440086874</v>
      </c>
      <c r="M6" s="15"/>
      <c r="N6" s="15"/>
      <c r="O6" s="15"/>
      <c r="P6" s="12"/>
      <c r="Q6" s="12"/>
      <c r="R6" s="11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</row>
    <row r="7" spans="1:39" x14ac:dyDescent="0.45">
      <c r="A7" s="11">
        <v>6</v>
      </c>
      <c r="B7" s="11">
        <v>14.4</v>
      </c>
      <c r="C7" s="12">
        <v>17</v>
      </c>
      <c r="D7" s="12">
        <v>29.5</v>
      </c>
      <c r="E7" s="16">
        <f t="shared" si="0"/>
        <v>424.8</v>
      </c>
      <c r="F7" s="17">
        <f t="shared" si="1"/>
        <v>501.5</v>
      </c>
      <c r="G7" s="17">
        <f t="shared" si="2"/>
        <v>207.36</v>
      </c>
      <c r="H7" s="17">
        <f t="shared" si="2"/>
        <v>289</v>
      </c>
      <c r="I7" s="17">
        <f t="shared" si="2"/>
        <v>870.25</v>
      </c>
      <c r="J7" s="17">
        <f t="shared" si="3"/>
        <v>244.8</v>
      </c>
      <c r="K7" s="16">
        <f t="shared" si="4"/>
        <v>30.204850598711079</v>
      </c>
      <c r="L7" s="15">
        <f t="shared" si="5"/>
        <v>-0.70485059871107936</v>
      </c>
      <c r="M7" s="15"/>
      <c r="N7" s="15"/>
      <c r="O7" s="15"/>
      <c r="P7" s="12"/>
      <c r="Q7" s="12"/>
      <c r="R7" s="11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</row>
    <row r="8" spans="1:39" x14ac:dyDescent="0.45">
      <c r="A8" s="11">
        <v>7</v>
      </c>
      <c r="B8" s="11">
        <v>18.399999999999999</v>
      </c>
      <c r="C8" s="12">
        <v>11.7</v>
      </c>
      <c r="D8" s="12">
        <v>23.2</v>
      </c>
      <c r="E8" s="16">
        <f t="shared" si="0"/>
        <v>426.87999999999994</v>
      </c>
      <c r="F8" s="17">
        <f t="shared" si="1"/>
        <v>271.44</v>
      </c>
      <c r="G8" s="17">
        <f t="shared" si="2"/>
        <v>338.55999999999995</v>
      </c>
      <c r="H8" s="17">
        <f t="shared" si="2"/>
        <v>136.88999999999999</v>
      </c>
      <c r="I8" s="17">
        <f t="shared" si="2"/>
        <v>538.24</v>
      </c>
      <c r="J8" s="17">
        <f t="shared" si="3"/>
        <v>215.27999999999997</v>
      </c>
      <c r="K8" s="16">
        <f t="shared" si="4"/>
        <v>21.311169892707952</v>
      </c>
      <c r="L8" s="15">
        <f t="shared" si="5"/>
        <v>1.8888301072920477</v>
      </c>
      <c r="M8" s="15"/>
      <c r="N8" s="15"/>
      <c r="O8" s="15"/>
      <c r="P8" s="12"/>
      <c r="Q8" s="12"/>
      <c r="R8" s="11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</row>
    <row r="9" spans="1:39" x14ac:dyDescent="0.45">
      <c r="A9" s="11">
        <v>8</v>
      </c>
      <c r="B9" s="11">
        <v>15.8</v>
      </c>
      <c r="C9" s="12">
        <v>8</v>
      </c>
      <c r="D9" s="12">
        <v>20.9</v>
      </c>
      <c r="E9" s="16">
        <f t="shared" si="0"/>
        <v>330.21999999999997</v>
      </c>
      <c r="F9" s="17">
        <f t="shared" si="1"/>
        <v>167.2</v>
      </c>
      <c r="G9" s="17">
        <f t="shared" si="2"/>
        <v>249.64000000000001</v>
      </c>
      <c r="H9" s="17">
        <f t="shared" si="2"/>
        <v>64</v>
      </c>
      <c r="I9" s="17">
        <f t="shared" si="2"/>
        <v>436.80999999999995</v>
      </c>
      <c r="J9" s="17">
        <f t="shared" si="3"/>
        <v>126.4</v>
      </c>
      <c r="K9" s="16">
        <f t="shared" si="4"/>
        <v>23.311883461595098</v>
      </c>
      <c r="L9" s="15">
        <f t="shared" si="5"/>
        <v>-2.4118834615950995</v>
      </c>
      <c r="M9" s="15"/>
      <c r="N9" s="15"/>
      <c r="O9" s="15"/>
      <c r="P9" s="12"/>
      <c r="Q9" s="12"/>
      <c r="R9" s="11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</row>
    <row r="10" spans="1:39" x14ac:dyDescent="0.45">
      <c r="A10" s="11"/>
      <c r="B10" s="12"/>
      <c r="C10" s="12"/>
      <c r="D10" s="11"/>
      <c r="E10" s="16"/>
      <c r="F10" s="17"/>
      <c r="G10" s="17"/>
      <c r="H10" s="17"/>
      <c r="I10" s="17"/>
      <c r="J10" s="17"/>
      <c r="K10" s="16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</row>
    <row r="11" spans="1:39" x14ac:dyDescent="0.45">
      <c r="A11" s="11"/>
      <c r="B11" s="12"/>
      <c r="C11" s="12"/>
      <c r="D11" s="11"/>
      <c r="E11" s="16"/>
      <c r="F11" s="17"/>
      <c r="G11" s="17"/>
      <c r="H11" s="17"/>
      <c r="I11" s="17"/>
      <c r="J11" s="17"/>
      <c r="K11" s="16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</row>
    <row r="12" spans="1:39" x14ac:dyDescent="0.45">
      <c r="A12" s="15" t="s">
        <v>73</v>
      </c>
      <c r="B12" s="15">
        <f>SUM(B2:B9)</f>
        <v>112.60000000000001</v>
      </c>
      <c r="C12" s="15">
        <f t="shared" ref="C12:L12" si="6">SUM(C2:C9)</f>
        <v>127.50000000000001</v>
      </c>
      <c r="D12" s="15">
        <f t="shared" si="6"/>
        <v>241.1</v>
      </c>
      <c r="E12" s="15">
        <f t="shared" si="6"/>
        <v>3315.15</v>
      </c>
      <c r="F12" s="15">
        <f t="shared" si="6"/>
        <v>3986.43</v>
      </c>
      <c r="G12" s="15">
        <f t="shared" si="6"/>
        <v>1619.3</v>
      </c>
      <c r="H12" s="15">
        <f t="shared" si="6"/>
        <v>2163.27</v>
      </c>
      <c r="I12" s="15">
        <f t="shared" si="6"/>
        <v>7483.8099999999995</v>
      </c>
      <c r="J12" s="15">
        <f t="shared" si="6"/>
        <v>1745.65</v>
      </c>
      <c r="K12" s="15">
        <f t="shared" si="6"/>
        <v>241.0999999999934</v>
      </c>
      <c r="L12" s="15">
        <f t="shared" si="6"/>
        <v>6.6258110109629342E-12</v>
      </c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</row>
    <row r="13" spans="1:39" x14ac:dyDescent="0.45">
      <c r="A13" s="15" t="s">
        <v>74</v>
      </c>
      <c r="B13" s="15">
        <f>B12/$A$9</f>
        <v>14.075000000000001</v>
      </c>
      <c r="C13" s="15">
        <f t="shared" ref="C13:L13" si="7">C12/$A$9</f>
        <v>15.937500000000002</v>
      </c>
      <c r="D13" s="15">
        <f t="shared" si="7"/>
        <v>30.137499999999999</v>
      </c>
      <c r="E13" s="15">
        <f t="shared" si="7"/>
        <v>414.39375000000001</v>
      </c>
      <c r="F13" s="15">
        <f t="shared" si="7"/>
        <v>498.30374999999998</v>
      </c>
      <c r="G13" s="15">
        <f t="shared" si="7"/>
        <v>202.41249999999999</v>
      </c>
      <c r="H13" s="15">
        <f t="shared" si="7"/>
        <v>270.40875</v>
      </c>
      <c r="I13" s="15">
        <f t="shared" si="7"/>
        <v>935.47624999999994</v>
      </c>
      <c r="J13" s="15">
        <f t="shared" si="7"/>
        <v>218.20625000000001</v>
      </c>
      <c r="K13" s="15">
        <f t="shared" si="7"/>
        <v>30.137499999999175</v>
      </c>
      <c r="L13" s="15">
        <f t="shared" si="7"/>
        <v>8.2822637637036678E-13</v>
      </c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</row>
    <row r="14" spans="1:39" x14ac:dyDescent="0.45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</row>
    <row r="15" spans="1:39" x14ac:dyDescent="0.45">
      <c r="A15" s="15">
        <f>$D$12</f>
        <v>241.1</v>
      </c>
      <c r="B15" s="15">
        <f>$A$9</f>
        <v>8</v>
      </c>
      <c r="C15" s="15">
        <f>$B$12</f>
        <v>112.60000000000001</v>
      </c>
      <c r="D15" s="15">
        <f>$C$12</f>
        <v>127.50000000000001</v>
      </c>
      <c r="E15" s="15"/>
      <c r="F15" s="15">
        <f>$D$12</f>
        <v>241.1</v>
      </c>
      <c r="G15" s="15">
        <f>$B$12</f>
        <v>112.60000000000001</v>
      </c>
      <c r="H15" s="15">
        <f>$C$12</f>
        <v>127.50000000000001</v>
      </c>
      <c r="I15" s="15"/>
      <c r="J15" s="15">
        <f>$A$9</f>
        <v>8</v>
      </c>
      <c r="K15" s="15">
        <f>$D$12</f>
        <v>241.1</v>
      </c>
      <c r="L15" s="15">
        <f>$C$12</f>
        <v>127.50000000000001</v>
      </c>
      <c r="M15" s="15"/>
      <c r="N15" s="15">
        <f>$A$9</f>
        <v>8</v>
      </c>
      <c r="O15" s="15">
        <f>$B$12</f>
        <v>112.60000000000001</v>
      </c>
      <c r="P15" s="15">
        <f>$D$12</f>
        <v>241.1</v>
      </c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</row>
    <row r="16" spans="1:39" x14ac:dyDescent="0.45">
      <c r="A16" s="15">
        <f>$E$12</f>
        <v>3315.15</v>
      </c>
      <c r="B16" s="18">
        <f>$B$12</f>
        <v>112.60000000000001</v>
      </c>
      <c r="C16" s="15">
        <f>$G$12</f>
        <v>1619.3</v>
      </c>
      <c r="D16" s="15">
        <f>$J$12</f>
        <v>1745.65</v>
      </c>
      <c r="E16" s="15"/>
      <c r="F16" s="15">
        <f>$E$12</f>
        <v>3315.15</v>
      </c>
      <c r="G16" s="15">
        <f>$G$12</f>
        <v>1619.3</v>
      </c>
      <c r="H16" s="15">
        <f>$J$12</f>
        <v>1745.65</v>
      </c>
      <c r="I16" s="15"/>
      <c r="J16" s="18">
        <f>$B$12</f>
        <v>112.60000000000001</v>
      </c>
      <c r="K16" s="15">
        <f>$E$12</f>
        <v>3315.15</v>
      </c>
      <c r="L16" s="15">
        <f>$J$12</f>
        <v>1745.65</v>
      </c>
      <c r="M16" s="15"/>
      <c r="N16" s="18">
        <f>$B$12</f>
        <v>112.60000000000001</v>
      </c>
      <c r="O16" s="15">
        <f>$G$12</f>
        <v>1619.3</v>
      </c>
      <c r="P16" s="15">
        <f>$E$12</f>
        <v>3315.15</v>
      </c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</row>
    <row r="17" spans="1:39" x14ac:dyDescent="0.45">
      <c r="A17" s="15">
        <f>$F$12</f>
        <v>3986.43</v>
      </c>
      <c r="B17" s="15">
        <f>$C$12</f>
        <v>127.50000000000001</v>
      </c>
      <c r="C17" s="15">
        <f>$J$12</f>
        <v>1745.65</v>
      </c>
      <c r="D17" s="15">
        <f>$H$12</f>
        <v>2163.27</v>
      </c>
      <c r="E17" s="15"/>
      <c r="F17" s="15">
        <f>$F$12</f>
        <v>3986.43</v>
      </c>
      <c r="G17" s="15">
        <f>$J$12</f>
        <v>1745.65</v>
      </c>
      <c r="H17" s="15">
        <f>$H$12</f>
        <v>2163.27</v>
      </c>
      <c r="I17" s="15"/>
      <c r="J17" s="15">
        <f>$C$12</f>
        <v>127.50000000000001</v>
      </c>
      <c r="K17" s="15">
        <f>$F$12</f>
        <v>3986.43</v>
      </c>
      <c r="L17" s="15">
        <f>$H$12</f>
        <v>2163.27</v>
      </c>
      <c r="M17" s="15"/>
      <c r="N17" s="15">
        <f>$C$12</f>
        <v>127.50000000000001</v>
      </c>
      <c r="O17" s="15">
        <f>$J$12</f>
        <v>1745.65</v>
      </c>
      <c r="P17" s="15">
        <f>$F$12</f>
        <v>3986.43</v>
      </c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</row>
    <row r="18" spans="1:39" x14ac:dyDescent="0.45">
      <c r="A18" s="15"/>
      <c r="B18" s="15"/>
      <c r="C18" s="15"/>
      <c r="D18" s="15"/>
      <c r="E18" s="15"/>
      <c r="F18" s="15"/>
      <c r="G18" s="15"/>
      <c r="H18" s="15"/>
      <c r="I18" s="15"/>
      <c r="J18" s="19"/>
      <c r="K18" s="19"/>
      <c r="L18" s="19"/>
      <c r="M18" s="19"/>
      <c r="N18" s="19"/>
      <c r="O18" s="19"/>
      <c r="P18" s="19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</row>
    <row r="19" spans="1:39" x14ac:dyDescent="0.45">
      <c r="A19" s="15" t="s">
        <v>37</v>
      </c>
      <c r="B19" s="15">
        <f>MDETERM(B15:D17)</f>
        <v>17035.187799999876</v>
      </c>
      <c r="C19" s="15"/>
      <c r="D19" s="20" t="s">
        <v>15</v>
      </c>
      <c r="E19" s="15">
        <f>B20/B19</f>
        <v>43.133388144977772</v>
      </c>
      <c r="F19" s="15"/>
      <c r="G19" s="15"/>
      <c r="H19" s="15"/>
      <c r="I19" s="15"/>
      <c r="J19" s="19"/>
      <c r="K19" s="19"/>
      <c r="L19" s="19"/>
      <c r="M19" s="19"/>
      <c r="N19" s="19"/>
      <c r="O19" s="19"/>
      <c r="P19" s="19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</row>
    <row r="20" spans="1:39" x14ac:dyDescent="0.45">
      <c r="A20" s="15" t="s">
        <v>41</v>
      </c>
      <c r="B20" s="15">
        <f>MDETERM(F15:H17)</f>
        <v>734785.36749998468</v>
      </c>
      <c r="C20" s="15"/>
      <c r="D20" s="20" t="s">
        <v>16</v>
      </c>
      <c r="E20" s="15">
        <f>B21/B19</f>
        <v>-1.5224072962670918</v>
      </c>
      <c r="F20" s="15"/>
      <c r="G20" s="15"/>
      <c r="H20" s="15"/>
      <c r="I20" s="15"/>
      <c r="J20" s="19"/>
      <c r="K20" s="19"/>
      <c r="L20" s="19"/>
      <c r="M20" s="19"/>
      <c r="N20" s="19"/>
      <c r="O20" s="19"/>
      <c r="P20" s="19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</row>
    <row r="21" spans="1:39" x14ac:dyDescent="0.45">
      <c r="A21" s="15" t="s">
        <v>43</v>
      </c>
      <c r="B21" s="15">
        <f>MDETERM(J15:L17)</f>
        <v>-25934.494199999961</v>
      </c>
      <c r="C21" s="15"/>
      <c r="D21" s="20" t="s">
        <v>58</v>
      </c>
      <c r="E21" s="15">
        <f>B22/B19</f>
        <v>0.5290663247046723</v>
      </c>
      <c r="F21" s="15"/>
      <c r="G21" s="15"/>
      <c r="H21" s="15"/>
      <c r="I21" s="15"/>
      <c r="J21" s="19"/>
      <c r="K21" s="19"/>
      <c r="L21" s="19"/>
      <c r="M21" s="19"/>
      <c r="N21" s="19"/>
      <c r="O21" s="19"/>
      <c r="P21" s="19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</row>
    <row r="22" spans="1:39" x14ac:dyDescent="0.45">
      <c r="A22" s="15" t="s">
        <v>75</v>
      </c>
      <c r="B22" s="15">
        <f>MDETERM(N15:P17)</f>
        <v>9012.7441999998064</v>
      </c>
      <c r="C22" s="15"/>
      <c r="D22" s="15"/>
      <c r="E22" s="15"/>
      <c r="F22" s="15"/>
      <c r="G22" s="15"/>
      <c r="H22" s="15"/>
      <c r="I22" s="15"/>
      <c r="J22" s="19"/>
      <c r="K22" s="19"/>
      <c r="L22" s="19"/>
      <c r="M22" s="19"/>
      <c r="N22" s="19"/>
      <c r="O22" s="19"/>
      <c r="P22" s="19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</row>
    <row r="23" spans="1:39" x14ac:dyDescent="0.45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</row>
    <row r="24" spans="1:39" x14ac:dyDescent="0.45">
      <c r="A24" s="15" t="s">
        <v>76</v>
      </c>
      <c r="B24" s="15">
        <f>SQRT(G13-POWER(B13,2))</f>
        <v>2.0753011829611534</v>
      </c>
      <c r="C24" s="15"/>
      <c r="D24" s="15" t="s">
        <v>20</v>
      </c>
      <c r="E24" s="15">
        <f>ABS(E20)*(B24*SQRT(1-B29^2)*SQRT(7-3-1))/(B26*SQRT(1-B30^2))</f>
        <v>2.2506166362999229</v>
      </c>
      <c r="F24" s="15"/>
      <c r="G24" s="15" t="s">
        <v>77</v>
      </c>
      <c r="H24" s="15">
        <f>E20*(B13)/(D13)</f>
        <v>-0.71100398821930555</v>
      </c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</row>
    <row r="25" spans="1:39" x14ac:dyDescent="0.45">
      <c r="A25" s="15" t="s">
        <v>78</v>
      </c>
      <c r="B25" s="15">
        <f>SQRT(H13-POWER(C13,2))</f>
        <v>4.0502893415162253</v>
      </c>
      <c r="C25" s="15"/>
      <c r="D25" s="15" t="s">
        <v>79</v>
      </c>
      <c r="E25" s="15">
        <f>ABS(E21)*(B25*SQRT(1-B29^2)*SQRT(7-3-1))/(B26*SQRT(1-B30^2))</f>
        <v>1.5264609653585459</v>
      </c>
      <c r="F25" s="15"/>
      <c r="G25" s="15" t="s">
        <v>80</v>
      </c>
      <c r="H25" s="15">
        <f>E21*(C13)/(D13)</f>
        <v>0.27978414101968369</v>
      </c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</row>
    <row r="26" spans="1:39" x14ac:dyDescent="0.45">
      <c r="A26" s="15" t="s">
        <v>81</v>
      </c>
      <c r="B26" s="15">
        <f>SQRT(I13-POWER(D13,2))</f>
        <v>5.2160659265388842</v>
      </c>
      <c r="C26" s="15"/>
      <c r="D26" s="15" t="s">
        <v>82</v>
      </c>
      <c r="E26" s="15">
        <f>3-1</f>
        <v>2</v>
      </c>
      <c r="F26" s="15"/>
      <c r="G26" s="15" t="s">
        <v>83</v>
      </c>
      <c r="H26" s="15">
        <f>E20*(B24)/(B26)</f>
        <v>-0.60571582249694444</v>
      </c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</row>
    <row r="27" spans="1:39" x14ac:dyDescent="0.45">
      <c r="A27" s="15" t="s">
        <v>84</v>
      </c>
      <c r="B27" s="15">
        <f>(E13-D13*B13)/(B26*B24)</f>
        <v>-0.90454003784503878</v>
      </c>
      <c r="C27" s="15"/>
      <c r="D27" s="15" t="s">
        <v>85</v>
      </c>
      <c r="E27" s="15">
        <f>8-2</f>
        <v>6</v>
      </c>
      <c r="F27" s="15"/>
      <c r="G27" s="15" t="s">
        <v>86</v>
      </c>
      <c r="H27" s="15">
        <f>E21*(B25)/(B26)</f>
        <v>0.41082143632498086</v>
      </c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</row>
    <row r="28" spans="1:39" x14ac:dyDescent="0.45">
      <c r="A28" s="15" t="s">
        <v>87</v>
      </c>
      <c r="B28" s="15">
        <f>(F13-D13*C13)/(B26*B25)</f>
        <v>0.85140836625915706</v>
      </c>
      <c r="C28" s="15"/>
      <c r="D28" s="15" t="s">
        <v>88</v>
      </c>
      <c r="E28" s="15">
        <f>(B26^2)/(E29)*(E27)/(E26)</f>
        <v>126.6555377005613</v>
      </c>
      <c r="F28" s="15"/>
      <c r="G28" s="15" t="s">
        <v>89</v>
      </c>
      <c r="H28" s="15">
        <f>(H26*B27)/B30^2</f>
        <v>0.61035078578880986</v>
      </c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</row>
    <row r="29" spans="1:39" x14ac:dyDescent="0.45">
      <c r="A29" s="15" t="s">
        <v>90</v>
      </c>
      <c r="B29" s="15">
        <f>(J13-B13*C13)/(B25*B24)</f>
        <v>-0.72738223696707016</v>
      </c>
      <c r="C29" s="15"/>
      <c r="D29" s="15" t="s">
        <v>91</v>
      </c>
      <c r="E29" s="15">
        <f>L2^2/A8</f>
        <v>0.64444107799668771</v>
      </c>
      <c r="F29" s="15"/>
      <c r="G29" s="15" t="s">
        <v>92</v>
      </c>
      <c r="H29" s="15">
        <f>(H27*B28)/B30^2</f>
        <v>0.3896492142111872</v>
      </c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</row>
    <row r="30" spans="1:39" x14ac:dyDescent="0.45">
      <c r="A30" s="15" t="s">
        <v>93</v>
      </c>
      <c r="B30" s="15">
        <f>SQRT((POWER(B27,2)+POWER(B28,2)-2*B27*B28*B29)/(1-POWER(B29,2)))</f>
        <v>0.94745502317018715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</row>
    <row r="31" spans="1:39" x14ac:dyDescent="0.45">
      <c r="A31" s="15" t="s">
        <v>23</v>
      </c>
      <c r="B31" s="15">
        <f>B30^2</f>
        <v>0.89767102093041984</v>
      </c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</row>
    <row r="32" spans="1:39" x14ac:dyDescent="0.45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</row>
    <row r="33" spans="1:39" x14ac:dyDescent="0.45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</row>
    <row r="34" spans="1:39" x14ac:dyDescent="0.45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</row>
    <row r="35" spans="1:39" x14ac:dyDescent="0.4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4F079-9C03-45D4-8F74-6F1D0E70EA0F}">
  <dimension ref="A1:T98"/>
  <sheetViews>
    <sheetView tabSelected="1" workbookViewId="0">
      <selection sqref="A1:B9"/>
    </sheetView>
  </sheetViews>
  <sheetFormatPr defaultColWidth="14.3984375" defaultRowHeight="15" customHeight="1" x14ac:dyDescent="0.45"/>
  <cols>
    <col min="1" max="1" width="10.86328125" customWidth="1"/>
    <col min="2" max="2" width="11.1328125" customWidth="1"/>
    <col min="3" max="3" width="11" customWidth="1"/>
    <col min="4" max="4" width="11.265625" customWidth="1"/>
    <col min="5" max="5" width="13.1328125" customWidth="1"/>
    <col min="6" max="6" width="15.1328125" customWidth="1"/>
    <col min="7" max="7" width="8.73046875" customWidth="1"/>
    <col min="8" max="8" width="15.1328125" customWidth="1"/>
    <col min="9" max="9" width="8.73046875" customWidth="1"/>
    <col min="10" max="10" width="13" customWidth="1"/>
    <col min="11" max="11" width="8.73046875" customWidth="1"/>
    <col min="12" max="12" width="13.3984375" customWidth="1"/>
    <col min="13" max="13" width="17.73046875" customWidth="1"/>
    <col min="14" max="14" width="12.3984375" customWidth="1"/>
    <col min="15" max="20" width="8.73046875" customWidth="1"/>
  </cols>
  <sheetData>
    <row r="1" spans="1:20" ht="31.5" customHeight="1" x14ac:dyDescent="0.45">
      <c r="A1" s="33" t="s">
        <v>95</v>
      </c>
      <c r="B1" s="33" t="s">
        <v>96</v>
      </c>
      <c r="C1" s="33" t="s">
        <v>97</v>
      </c>
      <c r="D1" s="31"/>
      <c r="E1" s="33" t="s">
        <v>98</v>
      </c>
      <c r="F1" s="31"/>
      <c r="G1" s="34" t="s">
        <v>99</v>
      </c>
      <c r="H1" s="31"/>
      <c r="I1" s="34" t="s">
        <v>100</v>
      </c>
      <c r="J1" s="31"/>
      <c r="K1" s="30" t="s">
        <v>101</v>
      </c>
      <c r="L1" s="31"/>
      <c r="M1" s="22" t="s">
        <v>102</v>
      </c>
      <c r="N1" s="30" t="s">
        <v>103</v>
      </c>
      <c r="O1" s="31"/>
      <c r="P1" s="24"/>
      <c r="Q1" s="24"/>
      <c r="R1" s="24"/>
      <c r="S1" s="24"/>
      <c r="T1" s="24"/>
    </row>
    <row r="2" spans="1:20" ht="30" customHeight="1" x14ac:dyDescent="0.45">
      <c r="A2" s="31"/>
      <c r="B2" s="31"/>
      <c r="C2" s="21" t="s">
        <v>104</v>
      </c>
      <c r="D2" s="21" t="s">
        <v>105</v>
      </c>
      <c r="E2" s="21" t="s">
        <v>104</v>
      </c>
      <c r="F2" s="21" t="s">
        <v>105</v>
      </c>
      <c r="G2" s="21" t="s">
        <v>104</v>
      </c>
      <c r="H2" s="21" t="s">
        <v>105</v>
      </c>
      <c r="I2" s="21" t="s">
        <v>104</v>
      </c>
      <c r="J2" s="21" t="s">
        <v>105</v>
      </c>
      <c r="K2" s="21" t="s">
        <v>104</v>
      </c>
      <c r="L2" s="21" t="s">
        <v>105</v>
      </c>
      <c r="M2" s="21" t="s">
        <v>104</v>
      </c>
      <c r="N2" s="23" t="s">
        <v>37</v>
      </c>
      <c r="O2" s="23" t="s">
        <v>106</v>
      </c>
      <c r="P2" s="24"/>
      <c r="Q2" s="24"/>
      <c r="R2" s="24"/>
      <c r="S2" s="24"/>
      <c r="T2" s="24"/>
    </row>
    <row r="3" spans="1:20" ht="15.4" x14ac:dyDescent="0.45">
      <c r="A3" s="25">
        <v>1</v>
      </c>
      <c r="B3" s="25">
        <v>141.30000000000001</v>
      </c>
      <c r="C3" s="25" t="s">
        <v>107</v>
      </c>
      <c r="D3" s="25" t="s">
        <v>107</v>
      </c>
      <c r="E3" s="25" t="s">
        <v>107</v>
      </c>
      <c r="F3" s="25" t="s">
        <v>107</v>
      </c>
      <c r="G3" s="26" t="s">
        <v>107</v>
      </c>
      <c r="H3" s="26" t="s">
        <v>107</v>
      </c>
      <c r="I3" s="26" t="s">
        <v>107</v>
      </c>
      <c r="J3" s="26" t="s">
        <v>107</v>
      </c>
      <c r="K3" s="26" t="s">
        <v>107</v>
      </c>
      <c r="L3" s="26" t="s">
        <v>107</v>
      </c>
      <c r="M3" s="26" t="s">
        <v>107</v>
      </c>
      <c r="N3" s="26">
        <f>$B$3</f>
        <v>141.30000000000001</v>
      </c>
      <c r="O3" s="26">
        <f>B3</f>
        <v>141.30000000000001</v>
      </c>
      <c r="P3" s="24"/>
      <c r="Q3" s="24"/>
      <c r="R3" s="24"/>
      <c r="S3" s="24"/>
      <c r="T3" s="24"/>
    </row>
    <row r="4" spans="1:20" ht="15.4" x14ac:dyDescent="0.45">
      <c r="A4" s="25">
        <v>2</v>
      </c>
      <c r="B4" s="25">
        <v>140.5</v>
      </c>
      <c r="C4" s="25">
        <f t="shared" ref="C4:C9" si="0">B4-B3</f>
        <v>-0.80000000000001137</v>
      </c>
      <c r="D4" s="25">
        <f t="shared" ref="D4:D9" si="1">B4-$B$3</f>
        <v>-0.80000000000001137</v>
      </c>
      <c r="E4" s="25">
        <f t="shared" ref="E4:E9" si="2">B4/B3</f>
        <v>0.99433828733191787</v>
      </c>
      <c r="F4" s="25">
        <f t="shared" ref="F4:F9" si="3">B4/$B$3</f>
        <v>0.99433828733191787</v>
      </c>
      <c r="G4" s="26">
        <f t="shared" ref="G4:H9" si="4">E4*100</f>
        <v>99.433828733191788</v>
      </c>
      <c r="H4" s="26">
        <f t="shared" si="4"/>
        <v>99.433828733191788</v>
      </c>
      <c r="I4" s="26">
        <f t="shared" ref="I4:J9" si="5">E4-1</f>
        <v>-5.6617126680821306E-3</v>
      </c>
      <c r="J4" s="26">
        <f t="shared" si="5"/>
        <v>-5.6617126680821306E-3</v>
      </c>
      <c r="K4" s="26">
        <f t="shared" ref="K4:L9" si="6">G4-100</f>
        <v>-0.56617126680821173</v>
      </c>
      <c r="L4" s="26">
        <f t="shared" si="6"/>
        <v>-0.56617126680821173</v>
      </c>
      <c r="M4" s="26">
        <f t="shared" ref="M4:M9" si="7">B3/100</f>
        <v>1.413</v>
      </c>
      <c r="N4" s="26">
        <f t="shared" ref="N4:N9" si="8">N3+$C$11</f>
        <v>142.58333333333334</v>
      </c>
      <c r="O4" s="26">
        <f t="shared" ref="O4:O9" si="9">O3*$E$11</f>
        <v>142.5551286194451</v>
      </c>
      <c r="P4" s="24"/>
      <c r="Q4" s="24"/>
      <c r="R4" s="24"/>
      <c r="S4" s="24"/>
      <c r="T4" s="24"/>
    </row>
    <row r="5" spans="1:20" ht="15.4" x14ac:dyDescent="0.45">
      <c r="A5" s="25">
        <v>3</v>
      </c>
      <c r="B5" s="25">
        <v>143.4</v>
      </c>
      <c r="C5" s="25">
        <f t="shared" si="0"/>
        <v>2.9000000000000057</v>
      </c>
      <c r="D5" s="25">
        <f t="shared" si="1"/>
        <v>2.0999999999999943</v>
      </c>
      <c r="E5" s="25">
        <f t="shared" si="2"/>
        <v>1.0206405693950178</v>
      </c>
      <c r="F5" s="25">
        <f t="shared" si="3"/>
        <v>1.0148619957537155</v>
      </c>
      <c r="G5" s="26">
        <f t="shared" si="4"/>
        <v>102.06405693950178</v>
      </c>
      <c r="H5" s="26">
        <f t="shared" si="4"/>
        <v>101.48619957537154</v>
      </c>
      <c r="I5" s="26">
        <f t="shared" si="5"/>
        <v>2.0640569395017794E-2</v>
      </c>
      <c r="J5" s="26">
        <f t="shared" si="5"/>
        <v>1.4861995753715496E-2</v>
      </c>
      <c r="K5" s="26">
        <f t="shared" si="6"/>
        <v>2.064056939501782</v>
      </c>
      <c r="L5" s="26">
        <f t="shared" si="6"/>
        <v>1.4861995753715433</v>
      </c>
      <c r="M5" s="26">
        <f t="shared" si="7"/>
        <v>1.405</v>
      </c>
      <c r="N5" s="26">
        <f t="shared" si="8"/>
        <v>143.86666666666667</v>
      </c>
      <c r="O5" s="26">
        <f t="shared" si="9"/>
        <v>143.82140619749848</v>
      </c>
      <c r="P5" s="24"/>
      <c r="Q5" s="24"/>
      <c r="R5" s="24"/>
      <c r="S5" s="24"/>
      <c r="T5" s="24"/>
    </row>
    <row r="6" spans="1:20" ht="15.4" x14ac:dyDescent="0.45">
      <c r="A6" s="25">
        <v>4</v>
      </c>
      <c r="B6" s="25">
        <v>146.80000000000001</v>
      </c>
      <c r="C6" s="25">
        <f t="shared" si="0"/>
        <v>3.4000000000000057</v>
      </c>
      <c r="D6" s="25">
        <f t="shared" si="1"/>
        <v>5.5</v>
      </c>
      <c r="E6" s="25">
        <f t="shared" si="2"/>
        <v>1.0237099023709904</v>
      </c>
      <c r="F6" s="25">
        <f t="shared" si="3"/>
        <v>1.0389242745930645</v>
      </c>
      <c r="G6" s="26">
        <f t="shared" si="4"/>
        <v>102.37099023709904</v>
      </c>
      <c r="H6" s="26">
        <f t="shared" si="4"/>
        <v>103.89242745930645</v>
      </c>
      <c r="I6" s="26">
        <f t="shared" si="5"/>
        <v>2.3709902370990354E-2</v>
      </c>
      <c r="J6" s="26">
        <f t="shared" si="5"/>
        <v>3.8924274593064467E-2</v>
      </c>
      <c r="K6" s="26">
        <f t="shared" si="6"/>
        <v>2.3709902370990363</v>
      </c>
      <c r="L6" s="26">
        <f t="shared" si="6"/>
        <v>3.8924274593064467</v>
      </c>
      <c r="M6" s="26">
        <f t="shared" si="7"/>
        <v>1.4340000000000002</v>
      </c>
      <c r="N6" s="26">
        <f t="shared" si="8"/>
        <v>145.15</v>
      </c>
      <c r="O6" s="26">
        <f t="shared" si="9"/>
        <v>145.0989317672601</v>
      </c>
      <c r="P6" s="24"/>
      <c r="Q6" s="24"/>
      <c r="R6" s="24"/>
      <c r="S6" s="24"/>
      <c r="T6" s="24"/>
    </row>
    <row r="7" spans="1:20" ht="15.4" x14ac:dyDescent="0.45">
      <c r="A7" s="25">
        <v>5</v>
      </c>
      <c r="B7" s="25">
        <v>145</v>
      </c>
      <c r="C7" s="25">
        <f t="shared" si="0"/>
        <v>-1.8000000000000114</v>
      </c>
      <c r="D7" s="25">
        <f t="shared" si="1"/>
        <v>3.6999999999999886</v>
      </c>
      <c r="E7" s="25">
        <f t="shared" si="2"/>
        <v>0.98773841961852848</v>
      </c>
      <c r="F7" s="25">
        <f t="shared" si="3"/>
        <v>1.0261854210898795</v>
      </c>
      <c r="G7" s="26">
        <f t="shared" si="4"/>
        <v>98.773841961852852</v>
      </c>
      <c r="H7" s="26">
        <f t="shared" si="4"/>
        <v>102.61854210898795</v>
      </c>
      <c r="I7" s="26">
        <f t="shared" si="5"/>
        <v>-1.2261580381471515E-2</v>
      </c>
      <c r="J7" s="26">
        <f t="shared" si="5"/>
        <v>2.6185421089879535E-2</v>
      </c>
      <c r="K7" s="26">
        <f t="shared" si="6"/>
        <v>-1.2261580381471475</v>
      </c>
      <c r="L7" s="26">
        <f t="shared" si="6"/>
        <v>2.6185421089879526</v>
      </c>
      <c r="M7" s="26">
        <f t="shared" si="7"/>
        <v>1.4680000000000002</v>
      </c>
      <c r="N7" s="26">
        <f t="shared" si="8"/>
        <v>146.43333333333334</v>
      </c>
      <c r="O7" s="26">
        <f t="shared" si="9"/>
        <v>146.38780524151346</v>
      </c>
      <c r="P7" s="24"/>
      <c r="Q7" s="24"/>
      <c r="R7" s="24"/>
      <c r="S7" s="24"/>
      <c r="T7" s="24"/>
    </row>
    <row r="8" spans="1:20" ht="15.4" x14ac:dyDescent="0.45">
      <c r="A8" s="25">
        <v>6</v>
      </c>
      <c r="B8" s="25">
        <v>147</v>
      </c>
      <c r="C8" s="25">
        <f t="shared" si="0"/>
        <v>2</v>
      </c>
      <c r="D8" s="25">
        <f t="shared" si="1"/>
        <v>5.6999999999999886</v>
      </c>
      <c r="E8" s="25">
        <f t="shared" si="2"/>
        <v>1.0137931034482759</v>
      </c>
      <c r="F8" s="25">
        <f t="shared" si="3"/>
        <v>1.0403397027600849</v>
      </c>
      <c r="G8" s="26">
        <f t="shared" si="4"/>
        <v>101.37931034482759</v>
      </c>
      <c r="H8" s="26">
        <f t="shared" si="4"/>
        <v>104.03397027600849</v>
      </c>
      <c r="I8" s="26">
        <f t="shared" si="5"/>
        <v>1.379310344827589E-2</v>
      </c>
      <c r="J8" s="26">
        <f t="shared" si="5"/>
        <v>4.0339702760084917E-2</v>
      </c>
      <c r="K8" s="26">
        <f t="shared" si="6"/>
        <v>1.3793103448275872</v>
      </c>
      <c r="L8" s="26">
        <f t="shared" si="6"/>
        <v>4.033970276008489</v>
      </c>
      <c r="M8" s="26">
        <f t="shared" si="7"/>
        <v>1.45</v>
      </c>
      <c r="N8" s="26">
        <f t="shared" si="8"/>
        <v>147.71666666666667</v>
      </c>
      <c r="O8" s="26">
        <f t="shared" si="9"/>
        <v>147.6881274205395</v>
      </c>
      <c r="P8" s="24"/>
      <c r="Q8" s="24"/>
      <c r="R8" s="24"/>
      <c r="S8" s="24"/>
      <c r="T8" s="24"/>
    </row>
    <row r="9" spans="1:20" ht="15.4" x14ac:dyDescent="0.45">
      <c r="A9" s="25">
        <v>7</v>
      </c>
      <c r="B9" s="25">
        <v>149</v>
      </c>
      <c r="C9" s="25">
        <f t="shared" si="0"/>
        <v>2</v>
      </c>
      <c r="D9" s="25">
        <f t="shared" si="1"/>
        <v>7.6999999999999886</v>
      </c>
      <c r="E9" s="25">
        <f t="shared" si="2"/>
        <v>1.0136054421768708</v>
      </c>
      <c r="F9" s="25">
        <f t="shared" si="3"/>
        <v>1.0544939844302901</v>
      </c>
      <c r="G9" s="26">
        <f t="shared" si="4"/>
        <v>101.36054421768708</v>
      </c>
      <c r="H9" s="26">
        <f t="shared" si="4"/>
        <v>105.44939844302901</v>
      </c>
      <c r="I9" s="26">
        <f t="shared" si="5"/>
        <v>1.3605442176870763E-2</v>
      </c>
      <c r="J9" s="26">
        <f t="shared" si="5"/>
        <v>5.4493984430290077E-2</v>
      </c>
      <c r="K9" s="26">
        <f t="shared" si="6"/>
        <v>1.3605442176870781</v>
      </c>
      <c r="L9" s="26">
        <f t="shared" si="6"/>
        <v>5.4493984430290112</v>
      </c>
      <c r="M9" s="26">
        <f t="shared" si="7"/>
        <v>1.47</v>
      </c>
      <c r="N9" s="26">
        <f t="shared" si="8"/>
        <v>149</v>
      </c>
      <c r="O9" s="26">
        <f t="shared" si="9"/>
        <v>149.00000000000003</v>
      </c>
      <c r="P9" s="24"/>
      <c r="Q9" s="24"/>
      <c r="R9" s="24"/>
      <c r="S9" s="24"/>
      <c r="T9" s="24"/>
    </row>
    <row r="10" spans="1:20" ht="15.4" x14ac:dyDescent="0.45">
      <c r="A10" s="27" t="s">
        <v>73</v>
      </c>
      <c r="B10" s="25">
        <f t="shared" ref="B10:O10" si="10">SUM(B3:B9)</f>
        <v>1013</v>
      </c>
      <c r="C10" s="25">
        <f t="shared" si="10"/>
        <v>7.6999999999999886</v>
      </c>
      <c r="D10" s="25">
        <f t="shared" si="10"/>
        <v>23.899999999999949</v>
      </c>
      <c r="E10" s="25">
        <f t="shared" si="10"/>
        <v>6.0538257243416016</v>
      </c>
      <c r="F10" s="25">
        <f t="shared" si="10"/>
        <v>6.1691436659589529</v>
      </c>
      <c r="G10" s="25">
        <f t="shared" si="10"/>
        <v>605.38257243416012</v>
      </c>
      <c r="H10" s="25">
        <f t="shared" si="10"/>
        <v>616.91436659589533</v>
      </c>
      <c r="I10" s="25">
        <f t="shared" si="10"/>
        <v>5.3825724341601155E-2</v>
      </c>
      <c r="J10" s="25">
        <f t="shared" si="10"/>
        <v>0.16914366595895236</v>
      </c>
      <c r="K10" s="25">
        <f t="shared" si="10"/>
        <v>5.3825724341601244</v>
      </c>
      <c r="L10" s="25">
        <f t="shared" si="10"/>
        <v>16.914366595895231</v>
      </c>
      <c r="M10" s="25">
        <f t="shared" si="10"/>
        <v>8.64</v>
      </c>
      <c r="N10" s="25">
        <f t="shared" si="10"/>
        <v>1016.05</v>
      </c>
      <c r="O10" s="25">
        <f t="shared" si="10"/>
        <v>1015.8513992462565</v>
      </c>
      <c r="P10" s="24"/>
      <c r="Q10" s="24"/>
      <c r="R10" s="24"/>
      <c r="S10" s="24"/>
      <c r="T10" s="24"/>
    </row>
    <row r="11" spans="1:20" ht="32.25" customHeight="1" x14ac:dyDescent="0.45">
      <c r="A11" s="22" t="s">
        <v>108</v>
      </c>
      <c r="B11" s="26">
        <f>B10/$A$38</f>
        <v>144.71428571428572</v>
      </c>
      <c r="C11" s="26">
        <f>C10/($A$38-1)</f>
        <v>1.2833333333333314</v>
      </c>
      <c r="D11" s="26">
        <f>D10/($A$38-1)</f>
        <v>3.983333333333325</v>
      </c>
      <c r="E11" s="25">
        <f>(B9/B3)^(1/(A38-1))</f>
        <v>1.0088827220059808</v>
      </c>
      <c r="F11" s="25">
        <f>SUMPRODUCT(F4:F9)^1/($A$38-1)</f>
        <v>1.0281906109931589</v>
      </c>
      <c r="G11" s="26">
        <f t="shared" ref="G11:M11" si="11">G10/($A$38-1)</f>
        <v>100.89709540569335</v>
      </c>
      <c r="H11" s="26">
        <f t="shared" si="11"/>
        <v>102.81906109931589</v>
      </c>
      <c r="I11" s="26">
        <f t="shared" si="11"/>
        <v>8.9709540569335253E-3</v>
      </c>
      <c r="J11" s="26">
        <f t="shared" si="11"/>
        <v>2.8190610993158727E-2</v>
      </c>
      <c r="K11" s="26">
        <f t="shared" si="11"/>
        <v>0.89709540569335411</v>
      </c>
      <c r="L11" s="26">
        <f t="shared" si="11"/>
        <v>2.819061099315872</v>
      </c>
      <c r="M11" s="26">
        <f t="shared" si="11"/>
        <v>1.4400000000000002</v>
      </c>
      <c r="N11" s="26">
        <f>N10/($A$38)</f>
        <v>145.15</v>
      </c>
      <c r="O11" s="26">
        <f>O10/($A$38)</f>
        <v>145.12162846375094</v>
      </c>
      <c r="P11" s="24"/>
      <c r="Q11" s="24"/>
      <c r="R11" s="24"/>
      <c r="S11" s="24"/>
      <c r="T11" s="24"/>
    </row>
    <row r="12" spans="1:20" ht="15.4" x14ac:dyDescent="0.45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</row>
    <row r="13" spans="1:20" ht="15.4" x14ac:dyDescent="0.45">
      <c r="A13" s="24" t="s">
        <v>109</v>
      </c>
      <c r="B13" s="24">
        <f>E11*100</f>
        <v>100.88827220059808</v>
      </c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</row>
    <row r="14" spans="1:20" ht="15.4" x14ac:dyDescent="0.45">
      <c r="A14" s="24" t="s">
        <v>110</v>
      </c>
      <c r="B14" s="28">
        <f>B13-100</f>
        <v>0.88827220059808099</v>
      </c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</row>
    <row r="15" spans="1:20" ht="15.4" x14ac:dyDescent="0.45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</row>
    <row r="16" spans="1:20" ht="34.5" customHeight="1" x14ac:dyDescent="0.45">
      <c r="A16" s="24"/>
      <c r="B16" s="32" t="s">
        <v>111</v>
      </c>
      <c r="C16" s="31"/>
      <c r="D16" s="31"/>
      <c r="E16" s="31"/>
      <c r="F16" s="31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</row>
    <row r="17" spans="1:20" ht="15.4" x14ac:dyDescent="0.45">
      <c r="A17" s="24"/>
      <c r="B17" s="24" t="s">
        <v>112</v>
      </c>
      <c r="C17" s="24" t="s">
        <v>94</v>
      </c>
      <c r="D17" s="24" t="s">
        <v>113</v>
      </c>
      <c r="E17" s="24" t="s">
        <v>71</v>
      </c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</row>
    <row r="18" spans="1:20" ht="15.4" x14ac:dyDescent="0.45">
      <c r="A18" s="24">
        <v>1</v>
      </c>
      <c r="B18" s="24">
        <v>-3</v>
      </c>
      <c r="C18" s="24">
        <f t="shared" ref="C18:C24" si="12">B18^2</f>
        <v>9</v>
      </c>
      <c r="D18" s="28">
        <f t="shared" ref="D18:D24" si="13">B3*B18</f>
        <v>-423.90000000000003</v>
      </c>
      <c r="E18" s="28">
        <f t="shared" ref="E18:E24" si="14">$B$27+$B$28*B18</f>
        <v>140.67500000000001</v>
      </c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8"/>
      <c r="Q18" s="28"/>
      <c r="R18" s="24"/>
      <c r="S18" s="24"/>
      <c r="T18" s="24"/>
    </row>
    <row r="19" spans="1:20" ht="15.4" x14ac:dyDescent="0.45">
      <c r="A19" s="24">
        <v>2</v>
      </c>
      <c r="B19" s="24">
        <v>-2</v>
      </c>
      <c r="C19" s="24">
        <f t="shared" si="12"/>
        <v>4</v>
      </c>
      <c r="D19" s="28">
        <f t="shared" si="13"/>
        <v>-281</v>
      </c>
      <c r="E19" s="28">
        <f t="shared" si="14"/>
        <v>142.02142857142857</v>
      </c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8"/>
      <c r="Q19" s="28"/>
      <c r="R19" s="24"/>
      <c r="S19" s="24"/>
      <c r="T19" s="24"/>
    </row>
    <row r="20" spans="1:20" ht="15.75" customHeight="1" x14ac:dyDescent="0.45">
      <c r="A20" s="24">
        <v>3</v>
      </c>
      <c r="B20" s="24">
        <v>-1</v>
      </c>
      <c r="C20" s="24">
        <f t="shared" si="12"/>
        <v>1</v>
      </c>
      <c r="D20" s="28">
        <f t="shared" si="13"/>
        <v>-143.4</v>
      </c>
      <c r="E20" s="28">
        <f t="shared" si="14"/>
        <v>143.36785714285716</v>
      </c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8"/>
      <c r="Q20" s="28"/>
      <c r="R20" s="24"/>
      <c r="S20" s="24"/>
      <c r="T20" s="24"/>
    </row>
    <row r="21" spans="1:20" ht="15.75" customHeight="1" x14ac:dyDescent="0.45">
      <c r="A21" s="24">
        <v>4</v>
      </c>
      <c r="B21" s="24">
        <v>0</v>
      </c>
      <c r="C21" s="24">
        <f t="shared" si="12"/>
        <v>0</v>
      </c>
      <c r="D21" s="28">
        <f t="shared" si="13"/>
        <v>0</v>
      </c>
      <c r="E21" s="28">
        <f t="shared" si="14"/>
        <v>144.71428571428572</v>
      </c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8"/>
      <c r="Q21" s="28"/>
      <c r="R21" s="24"/>
      <c r="S21" s="24"/>
      <c r="T21" s="24"/>
    </row>
    <row r="22" spans="1:20" ht="15.75" customHeight="1" x14ac:dyDescent="0.45">
      <c r="A22" s="24">
        <v>5</v>
      </c>
      <c r="B22" s="24">
        <v>1</v>
      </c>
      <c r="C22" s="24">
        <f t="shared" si="12"/>
        <v>1</v>
      </c>
      <c r="D22" s="28">
        <f t="shared" si="13"/>
        <v>145</v>
      </c>
      <c r="E22" s="28">
        <f t="shared" si="14"/>
        <v>146.06071428571428</v>
      </c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8"/>
      <c r="Q22" s="28"/>
      <c r="R22" s="24"/>
      <c r="S22" s="24"/>
      <c r="T22" s="24"/>
    </row>
    <row r="23" spans="1:20" ht="15.75" customHeight="1" x14ac:dyDescent="0.45">
      <c r="A23" s="24">
        <v>6</v>
      </c>
      <c r="B23" s="24">
        <v>2</v>
      </c>
      <c r="C23" s="24">
        <f t="shared" si="12"/>
        <v>4</v>
      </c>
      <c r="D23" s="28">
        <f t="shared" si="13"/>
        <v>294</v>
      </c>
      <c r="E23" s="28">
        <f t="shared" si="14"/>
        <v>147.40714285714287</v>
      </c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8"/>
      <c r="Q23" s="28"/>
      <c r="R23" s="24"/>
      <c r="S23" s="24"/>
      <c r="T23" s="24"/>
    </row>
    <row r="24" spans="1:20" ht="15.75" customHeight="1" x14ac:dyDescent="0.45">
      <c r="A24" s="24">
        <v>7</v>
      </c>
      <c r="B24" s="24">
        <v>3</v>
      </c>
      <c r="C24" s="24">
        <f t="shared" si="12"/>
        <v>9</v>
      </c>
      <c r="D24" s="28">
        <f t="shared" si="13"/>
        <v>447</v>
      </c>
      <c r="E24" s="28">
        <f t="shared" si="14"/>
        <v>148.75357142857143</v>
      </c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8"/>
      <c r="Q24" s="28"/>
      <c r="R24" s="24"/>
      <c r="S24" s="24"/>
      <c r="T24" s="24"/>
    </row>
    <row r="25" spans="1:20" ht="15.75" customHeight="1" x14ac:dyDescent="0.45">
      <c r="A25" s="24" t="s">
        <v>73</v>
      </c>
      <c r="B25" s="24">
        <f>SUM(B18:B24)</f>
        <v>0</v>
      </c>
      <c r="C25" s="24">
        <f>SUM(C18:C24)</f>
        <v>28</v>
      </c>
      <c r="D25" s="28">
        <f>SUM(D18:D24)</f>
        <v>37.699999999999932</v>
      </c>
      <c r="E25" s="28">
        <f>SUM(E18:E24)</f>
        <v>1013</v>
      </c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</row>
    <row r="26" spans="1:20" ht="15.75" customHeight="1" x14ac:dyDescent="0.45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</row>
    <row r="27" spans="1:20" ht="15.75" customHeight="1" x14ac:dyDescent="0.45">
      <c r="A27" s="24" t="s">
        <v>15</v>
      </c>
      <c r="B27" s="24">
        <f>B10/A38</f>
        <v>144.71428571428572</v>
      </c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</row>
    <row r="28" spans="1:20" ht="15.75" customHeight="1" x14ac:dyDescent="0.45">
      <c r="A28" s="24" t="s">
        <v>16</v>
      </c>
      <c r="B28" s="24">
        <f>D25/C25</f>
        <v>1.3464285714285691</v>
      </c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</row>
    <row r="29" spans="1:20" ht="15.75" customHeight="1" x14ac:dyDescent="0.45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</row>
    <row r="30" spans="1:20" ht="15.75" customHeight="1" x14ac:dyDescent="0.45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</row>
    <row r="31" spans="1:20" ht="15.75" customHeight="1" x14ac:dyDescent="0.45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</row>
    <row r="32" spans="1:20" ht="15.75" customHeight="1" x14ac:dyDescent="0.45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</row>
    <row r="33" spans="1:20" ht="15.75" customHeight="1" x14ac:dyDescent="0.45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</row>
    <row r="34" spans="1:20" ht="15.75" customHeight="1" x14ac:dyDescent="0.45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</row>
    <row r="35" spans="1:20" ht="15.75" customHeight="1" x14ac:dyDescent="0.45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</row>
    <row r="36" spans="1:20" ht="15.75" customHeight="1" x14ac:dyDescent="0.45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</row>
    <row r="37" spans="1:20" ht="15.75" customHeight="1" x14ac:dyDescent="0.45">
      <c r="A37" s="29" t="s">
        <v>114</v>
      </c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</row>
    <row r="38" spans="1:20" ht="15.75" customHeight="1" x14ac:dyDescent="0.45">
      <c r="A38" s="29">
        <v>7</v>
      </c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</row>
    <row r="39" spans="1:20" ht="15.75" customHeight="1" x14ac:dyDescent="0.45"/>
    <row r="40" spans="1:20" ht="15.75" customHeight="1" x14ac:dyDescent="0.45"/>
    <row r="41" spans="1:20" ht="15.75" customHeight="1" x14ac:dyDescent="0.45"/>
    <row r="42" spans="1:20" ht="15.75" customHeight="1" x14ac:dyDescent="0.45"/>
    <row r="43" spans="1:20" ht="15.75" customHeight="1" x14ac:dyDescent="0.45"/>
    <row r="44" spans="1:20" ht="15.75" customHeight="1" x14ac:dyDescent="0.45"/>
    <row r="45" spans="1:20" ht="15.75" customHeight="1" x14ac:dyDescent="0.45"/>
    <row r="46" spans="1:20" ht="15.75" customHeight="1" x14ac:dyDescent="0.45"/>
    <row r="47" spans="1:20" ht="15.75" customHeight="1" x14ac:dyDescent="0.45"/>
    <row r="48" spans="1:20" ht="15.75" customHeight="1" x14ac:dyDescent="0.45"/>
    <row r="49" ht="15.75" customHeight="1" x14ac:dyDescent="0.45"/>
    <row r="50" ht="15.75" customHeight="1" x14ac:dyDescent="0.45"/>
    <row r="51" ht="15.75" customHeight="1" x14ac:dyDescent="0.45"/>
    <row r="52" ht="15.75" customHeight="1" x14ac:dyDescent="0.45"/>
    <row r="53" ht="15.75" customHeight="1" x14ac:dyDescent="0.45"/>
    <row r="54" ht="15.75" customHeight="1" x14ac:dyDescent="0.45"/>
    <row r="55" ht="15.75" customHeight="1" x14ac:dyDescent="0.45"/>
    <row r="56" ht="15.75" customHeight="1" x14ac:dyDescent="0.45"/>
    <row r="57" ht="15.75" customHeight="1" x14ac:dyDescent="0.45"/>
    <row r="58" ht="15.75" customHeight="1" x14ac:dyDescent="0.45"/>
    <row r="59" ht="15.75" customHeight="1" x14ac:dyDescent="0.45"/>
    <row r="60" ht="15.75" customHeight="1" x14ac:dyDescent="0.45"/>
    <row r="61" ht="15.75" customHeight="1" x14ac:dyDescent="0.45"/>
    <row r="62" ht="15.75" customHeight="1" x14ac:dyDescent="0.45"/>
    <row r="63" ht="15.75" customHeight="1" x14ac:dyDescent="0.45"/>
    <row r="64" ht="15.75" customHeight="1" x14ac:dyDescent="0.45"/>
    <row r="65" ht="15.75" customHeight="1" x14ac:dyDescent="0.45"/>
    <row r="66" ht="15.75" customHeight="1" x14ac:dyDescent="0.45"/>
    <row r="67" ht="15.75" customHeight="1" x14ac:dyDescent="0.45"/>
    <row r="68" ht="15.75" customHeight="1" x14ac:dyDescent="0.45"/>
    <row r="69" ht="15.75" customHeight="1" x14ac:dyDescent="0.45"/>
    <row r="70" ht="15.75" customHeight="1" x14ac:dyDescent="0.45"/>
    <row r="71" ht="15.75" customHeight="1" x14ac:dyDescent="0.45"/>
    <row r="72" ht="15.75" customHeight="1" x14ac:dyDescent="0.45"/>
    <row r="73" ht="15.75" customHeight="1" x14ac:dyDescent="0.45"/>
    <row r="74" ht="15.75" customHeight="1" x14ac:dyDescent="0.45"/>
    <row r="75" ht="15.75" customHeight="1" x14ac:dyDescent="0.45"/>
    <row r="76" ht="15.75" customHeight="1" x14ac:dyDescent="0.45"/>
    <row r="77" ht="15.75" customHeight="1" x14ac:dyDescent="0.45"/>
    <row r="78" ht="15.75" customHeight="1" x14ac:dyDescent="0.45"/>
    <row r="79" ht="15.75" customHeight="1" x14ac:dyDescent="0.45"/>
    <row r="80" ht="15.75" customHeight="1" x14ac:dyDescent="0.45"/>
    <row r="81" ht="15.75" customHeight="1" x14ac:dyDescent="0.45"/>
    <row r="82" ht="15.75" customHeight="1" x14ac:dyDescent="0.45"/>
    <row r="83" ht="15.75" customHeight="1" x14ac:dyDescent="0.45"/>
    <row r="84" ht="15.75" customHeight="1" x14ac:dyDescent="0.45"/>
    <row r="85" ht="15.75" customHeight="1" x14ac:dyDescent="0.45"/>
    <row r="86" ht="15.75" customHeight="1" x14ac:dyDescent="0.45"/>
    <row r="87" ht="15.75" customHeight="1" x14ac:dyDescent="0.45"/>
    <row r="88" ht="15.75" customHeight="1" x14ac:dyDescent="0.45"/>
    <row r="89" ht="15.75" customHeight="1" x14ac:dyDescent="0.45"/>
    <row r="90" ht="15.75" customHeight="1" x14ac:dyDescent="0.45"/>
    <row r="91" ht="15.75" customHeight="1" x14ac:dyDescent="0.45"/>
    <row r="92" ht="15.75" customHeight="1" x14ac:dyDescent="0.45"/>
    <row r="93" ht="15.75" customHeight="1" x14ac:dyDescent="0.45"/>
    <row r="94" ht="15.75" customHeight="1" x14ac:dyDescent="0.45"/>
    <row r="95" ht="15.75" customHeight="1" x14ac:dyDescent="0.45"/>
    <row r="96" ht="15.75" customHeight="1" x14ac:dyDescent="0.45"/>
    <row r="97" ht="15.75" customHeight="1" x14ac:dyDescent="0.45"/>
    <row r="98" ht="15.75" customHeight="1" x14ac:dyDescent="0.45"/>
  </sheetData>
  <mergeCells count="9">
    <mergeCell ref="K1:L1"/>
    <mergeCell ref="N1:O1"/>
    <mergeCell ref="B16:F16"/>
    <mergeCell ref="A1:A2"/>
    <mergeCell ref="B1:B2"/>
    <mergeCell ref="C1:D1"/>
    <mergeCell ref="E1:F1"/>
    <mergeCell ref="G1:H1"/>
    <mergeCell ref="I1:J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ЛР1</vt:lpstr>
      <vt:lpstr>ЛР2</vt:lpstr>
      <vt:lpstr>ЛР3</vt:lpstr>
      <vt:lpstr>ЛР4</vt:lpstr>
      <vt:lpstr>ЛР5</vt:lpstr>
      <vt:lpstr>ЛР6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Константин Троцький</dc:creator>
  <cp:lastModifiedBy>Константин Троцький</cp:lastModifiedBy>
  <dcterms:created xsi:type="dcterms:W3CDTF">2026-02-05T09:46:23Z</dcterms:created>
  <dcterms:modified xsi:type="dcterms:W3CDTF">2026-03-25T07:56:30Z</dcterms:modified>
</cp:coreProperties>
</file>