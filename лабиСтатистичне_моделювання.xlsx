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ck\Desktop\4 курс\LR\"/>
    </mc:Choice>
  </mc:AlternateContent>
  <xr:revisionPtr revIDLastSave="0" documentId="13_ncr:1_{6AD056C5-C402-4682-8BF5-9F0A3B11AB74}" xr6:coauthVersionLast="47" xr6:coauthVersionMax="47" xr10:uidLastSave="{00000000-0000-0000-0000-000000000000}"/>
  <bookViews>
    <workbookView xWindow="-98" yWindow="-98" windowWidth="19396" windowHeight="11475" activeTab="2" xr2:uid="{C6454709-9D82-4E43-897D-8CDF4628B8E6}"/>
  </bookViews>
  <sheets>
    <sheet name="ЛР1" sheetId="1" r:id="rId1"/>
    <sheet name="ЛР2" sheetId="2" r:id="rId2"/>
    <sheet name="ЛР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3" l="1"/>
  <c r="B16" i="3"/>
  <c r="C12" i="3"/>
  <c r="F16" i="3" s="1"/>
  <c r="B12" i="3"/>
  <c r="G16" i="3" s="1"/>
  <c r="G10" i="3"/>
  <c r="F10" i="3"/>
  <c r="E10" i="3"/>
  <c r="D10" i="3"/>
  <c r="H10" i="3" s="1"/>
  <c r="G9" i="3"/>
  <c r="F9" i="3"/>
  <c r="E9" i="3"/>
  <c r="D9" i="3"/>
  <c r="H9" i="3" s="1"/>
  <c r="G8" i="3"/>
  <c r="F8" i="3"/>
  <c r="E8" i="3"/>
  <c r="D8" i="3"/>
  <c r="H8" i="3" s="1"/>
  <c r="G7" i="3"/>
  <c r="F7" i="3"/>
  <c r="E7" i="3"/>
  <c r="D7" i="3"/>
  <c r="H7" i="3" s="1"/>
  <c r="G6" i="3"/>
  <c r="F6" i="3"/>
  <c r="E6" i="3"/>
  <c r="D6" i="3"/>
  <c r="H6" i="3" s="1"/>
  <c r="G5" i="3"/>
  <c r="F5" i="3"/>
  <c r="E5" i="3"/>
  <c r="D5" i="3"/>
  <c r="H5" i="3" s="1"/>
  <c r="G4" i="3"/>
  <c r="F4" i="3"/>
  <c r="E4" i="3"/>
  <c r="D4" i="3"/>
  <c r="H4" i="3" s="1"/>
  <c r="G3" i="3"/>
  <c r="F3" i="3"/>
  <c r="E3" i="3"/>
  <c r="D3" i="3"/>
  <c r="H3" i="3" s="1"/>
  <c r="G2" i="3"/>
  <c r="F2" i="3"/>
  <c r="E2" i="3"/>
  <c r="D2" i="3"/>
  <c r="H2" i="3" s="1"/>
  <c r="L3" i="2"/>
  <c r="L4" i="2" s="1"/>
  <c r="L6" i="2"/>
  <c r="L2" i="2"/>
  <c r="J8" i="2"/>
  <c r="J7" i="2"/>
  <c r="J6" i="2"/>
  <c r="J5" i="2"/>
  <c r="H3" i="2"/>
  <c r="H4" i="2"/>
  <c r="H5" i="2"/>
  <c r="H6" i="2"/>
  <c r="H7" i="2"/>
  <c r="H8" i="2"/>
  <c r="H9" i="2"/>
  <c r="H10" i="2"/>
  <c r="H2" i="2"/>
  <c r="G3" i="2"/>
  <c r="G4" i="2"/>
  <c r="G5" i="2"/>
  <c r="G6" i="2"/>
  <c r="G7" i="2"/>
  <c r="G8" i="2"/>
  <c r="G9" i="2"/>
  <c r="G10" i="2"/>
  <c r="G2" i="2"/>
  <c r="J3" i="2"/>
  <c r="J2" i="2"/>
  <c r="C12" i="2"/>
  <c r="D12" i="2"/>
  <c r="E12" i="2"/>
  <c r="F12" i="2"/>
  <c r="B12" i="2"/>
  <c r="C11" i="2"/>
  <c r="D11" i="2"/>
  <c r="E11" i="2"/>
  <c r="F11" i="2"/>
  <c r="B11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E2" i="2"/>
  <c r="D3" i="2"/>
  <c r="D4" i="2"/>
  <c r="D5" i="2"/>
  <c r="D6" i="2"/>
  <c r="D7" i="2"/>
  <c r="D8" i="2"/>
  <c r="D9" i="2"/>
  <c r="D10" i="2"/>
  <c r="D2" i="2"/>
  <c r="F3" i="1"/>
  <c r="F4" i="1"/>
  <c r="F5" i="1"/>
  <c r="F6" i="1"/>
  <c r="F7" i="1"/>
  <c r="F8" i="1"/>
  <c r="F9" i="1"/>
  <c r="F10" i="1"/>
  <c r="F2" i="1"/>
  <c r="J2" i="1"/>
  <c r="D6" i="1" s="1"/>
  <c r="G6" i="1" s="1"/>
  <c r="J1" i="1"/>
  <c r="C11" i="1"/>
  <c r="E11" i="1"/>
  <c r="B11" i="1"/>
  <c r="E3" i="1"/>
  <c r="E4" i="1"/>
  <c r="E5" i="1"/>
  <c r="E6" i="1"/>
  <c r="E7" i="1"/>
  <c r="E8" i="1"/>
  <c r="E9" i="1"/>
  <c r="E10" i="1"/>
  <c r="E2" i="1"/>
  <c r="E12" i="3" l="1"/>
  <c r="F12" i="3"/>
  <c r="H18" i="3" s="1"/>
  <c r="G12" i="3"/>
  <c r="F17" i="3" s="1"/>
  <c r="K16" i="3"/>
  <c r="B17" i="3"/>
  <c r="C16" i="3"/>
  <c r="J17" i="3"/>
  <c r="A16" i="3"/>
  <c r="C13" i="3"/>
  <c r="J2" i="3" s="1"/>
  <c r="H12" i="3"/>
  <c r="L17" i="3"/>
  <c r="G18" i="3"/>
  <c r="C18" i="3"/>
  <c r="D17" i="3"/>
  <c r="H17" i="3"/>
  <c r="D18" i="3"/>
  <c r="D12" i="3"/>
  <c r="D2" i="1"/>
  <c r="D7" i="1"/>
  <c r="G7" i="1" s="1"/>
  <c r="D9" i="1"/>
  <c r="G9" i="1" s="1"/>
  <c r="D10" i="1"/>
  <c r="G10" i="1" s="1"/>
  <c r="D8" i="1"/>
  <c r="G8" i="1" s="1"/>
  <c r="F11" i="1"/>
  <c r="D3" i="1"/>
  <c r="G3" i="1" s="1"/>
  <c r="D5" i="1"/>
  <c r="G5" i="1" s="1"/>
  <c r="D4" i="1"/>
  <c r="G4" i="1" s="1"/>
  <c r="I2" i="3" l="1"/>
  <c r="I7" i="3"/>
  <c r="I10" i="3"/>
  <c r="J5" i="3"/>
  <c r="J3" i="3"/>
  <c r="J10" i="3"/>
  <c r="L18" i="3"/>
  <c r="K17" i="3"/>
  <c r="A17" i="3"/>
  <c r="I9" i="3"/>
  <c r="J4" i="3"/>
  <c r="I4" i="3"/>
  <c r="I6" i="3"/>
  <c r="J9" i="3"/>
  <c r="J7" i="3"/>
  <c r="J6" i="3"/>
  <c r="I3" i="3"/>
  <c r="J8" i="3"/>
  <c r="I8" i="3"/>
  <c r="I5" i="3"/>
  <c r="C17" i="3"/>
  <c r="J18" i="3"/>
  <c r="H16" i="3"/>
  <c r="D16" i="3"/>
  <c r="B18" i="3"/>
  <c r="G17" i="3"/>
  <c r="L16" i="3"/>
  <c r="F18" i="3"/>
  <c r="A18" i="3"/>
  <c r="K18" i="3"/>
  <c r="D11" i="1"/>
  <c r="G2" i="1"/>
  <c r="I12" i="3" l="1"/>
  <c r="J12" i="3"/>
  <c r="B23" i="3"/>
  <c r="B22" i="3"/>
  <c r="B20" i="3"/>
  <c r="B21" i="3"/>
  <c r="E22" i="3" l="1"/>
  <c r="E20" i="3"/>
  <c r="E21" i="3"/>
  <c r="K4" i="3" l="1"/>
  <c r="K10" i="3"/>
  <c r="K2" i="3"/>
  <c r="K9" i="3"/>
  <c r="K5" i="3"/>
  <c r="K8" i="3"/>
  <c r="K6" i="3"/>
  <c r="K7" i="3"/>
  <c r="K3" i="3"/>
  <c r="M3" i="3" l="1"/>
  <c r="L3" i="3"/>
  <c r="L7" i="3"/>
  <c r="M7" i="3"/>
  <c r="M8" i="3"/>
  <c r="L8" i="3"/>
  <c r="M9" i="3"/>
  <c r="L9" i="3"/>
  <c r="L2" i="3"/>
  <c r="K12" i="3"/>
  <c r="M2" i="3"/>
  <c r="L10" i="3"/>
  <c r="M10" i="3"/>
  <c r="L6" i="3"/>
  <c r="M6" i="3"/>
  <c r="M5" i="3"/>
  <c r="L5" i="3"/>
  <c r="L4" i="3"/>
  <c r="M4" i="3"/>
  <c r="M12" i="3" l="1"/>
  <c r="B25" i="3" s="1"/>
  <c r="B27" i="3" s="1"/>
  <c r="L12" i="3"/>
  <c r="B28" i="3" l="1"/>
</calcChain>
</file>

<file path=xl/sharedStrings.xml><?xml version="1.0" encoding="utf-8"?>
<sst xmlns="http://schemas.openxmlformats.org/spreadsheetml/2006/main" count="55" uniqueCount="51">
  <si>
    <t>№</t>
  </si>
  <si>
    <t>X</t>
  </si>
  <si>
    <t>Y</t>
  </si>
  <si>
    <t>X*Y</t>
  </si>
  <si>
    <t>X^2</t>
  </si>
  <si>
    <t>y_prognoz</t>
  </si>
  <si>
    <t>(Y-y_)^2</t>
  </si>
  <si>
    <t>№ п/п</t>
  </si>
  <si>
    <t>Кількість чоловік у сім'ї Х</t>
  </si>
  <si>
    <t>Витрати на одного члена родини У, грн</t>
  </si>
  <si>
    <t>Y^2</t>
  </si>
  <si>
    <t>y^</t>
  </si>
  <si>
    <t>(Y-y^)^2</t>
  </si>
  <si>
    <t>Сума</t>
  </si>
  <si>
    <t>Середнє</t>
  </si>
  <si>
    <t>a0</t>
  </si>
  <si>
    <t>a1</t>
  </si>
  <si>
    <t>S_zag</t>
  </si>
  <si>
    <t>Qx</t>
  </si>
  <si>
    <t>ta0</t>
  </si>
  <si>
    <t>ta1</t>
  </si>
  <si>
    <t>t_table</t>
  </si>
  <si>
    <t>r</t>
  </si>
  <si>
    <t>R^2</t>
  </si>
  <si>
    <t>F_fakt</t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</si>
  <si>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</si>
  <si>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3</t>
    </r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</si>
  <si>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4</t>
    </r>
  </si>
  <si>
    <t>xy</t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</si>
  <si>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2</t>
    </r>
    <r>
      <rPr>
        <sz val="12"/>
        <color theme="1"/>
        <rFont val="Calibri"/>
        <family val="2"/>
        <charset val="204"/>
        <scheme val="minor"/>
      </rPr>
      <t>y</t>
    </r>
  </si>
  <si>
    <t>y-y_</t>
  </si>
  <si>
    <t>(y-y_)2</t>
  </si>
  <si>
    <t>y^-y_</t>
  </si>
  <si>
    <r>
      <t>(y^-y_)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</si>
  <si>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Всього</t>
  </si>
  <si>
    <t xml:space="preserve">В середньому </t>
  </si>
  <si>
    <t>Параметри для рівняння параболи(Завдання 1)</t>
  </si>
  <si>
    <t>Дельта</t>
  </si>
  <si>
    <t>a0=</t>
  </si>
  <si>
    <t>Дельта0</t>
  </si>
  <si>
    <t>a1=</t>
  </si>
  <si>
    <t>Дельта1</t>
  </si>
  <si>
    <t>a2=</t>
  </si>
  <si>
    <t>Дельта2</t>
  </si>
  <si>
    <t>Оціка щільності зв'язку(Завдання 2)</t>
  </si>
  <si>
    <t>Nx/y=</t>
  </si>
  <si>
    <t>Встановленння достовірності (Завдання 3)</t>
  </si>
  <si>
    <t>Un=</t>
  </si>
  <si>
    <t>Tn=</t>
  </si>
  <si>
    <t>Продуктивність X, рік</t>
  </si>
  <si>
    <t>Заробітна плата Y, грн.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</si>
</sst>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1F1F1F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vertAlign val="superscript"/>
      <sz val="12"/>
      <color theme="1"/>
      <name val="Calibri"/>
      <family val="2"/>
      <charset val="204"/>
      <scheme val="minor"/>
    </font>
    <font>
      <sz val="12"/>
      <color rgb="FF1F1F1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10" fontId="0" fillId="0" borderId="0" xfId="1" applyNumberFormat="1" applyFont="1"/>
    <xf numFmtId="0" fontId="2" fillId="0" borderId="0" xfId="0" applyFont="1" applyFill="1" applyBorder="1" applyAlignment="1">
      <alignment horizontal="left" vertical="center" wrapText="1" indent="1" readingOrder="1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 indent="1" readingOrder="1"/>
    </xf>
    <xf numFmtId="2" fontId="5" fillId="0" borderId="0" xfId="0" applyNumberFormat="1" applyFont="1" applyFill="1" applyBorder="1" applyAlignment="1">
      <alignment horizontal="left" vertical="center" wrapText="1" indent="1" readingOrder="1"/>
    </xf>
    <xf numFmtId="2" fontId="3" fillId="0" borderId="0" xfId="0" applyNumberFormat="1" applyFont="1" applyFill="1" applyBorder="1"/>
    <xf numFmtId="0" fontId="3" fillId="0" borderId="0" xfId="0" applyFont="1" applyFill="1" applyBorder="1"/>
    <xf numFmtId="0" fontId="0" fillId="0" borderId="0" xfId="0" applyFill="1" applyBorder="1"/>
    <xf numFmtId="0" fontId="0" fillId="0" borderId="0" xfId="0" applyFill="1"/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/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Графік</a:t>
            </a:r>
            <a:r>
              <a:rPr lang="ru-RU" baseline="0"/>
              <a:t> співвідношення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2231694969760182E-2"/>
          <c:y val="0.1194524959742351"/>
          <c:w val="0.81519804396364837"/>
          <c:h val="0.80583488658120639"/>
        </c:manualLayout>
      </c:layout>
      <c:scatterChart>
        <c:scatterStyle val="lineMarker"/>
        <c:varyColors val="0"/>
        <c:ser>
          <c:idx val="0"/>
          <c:order val="0"/>
          <c:tx>
            <c:v>Реальні дані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ЛР1!$B$2:$B$10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</c:numCache>
            </c:numRef>
          </c:xVal>
          <c:yVal>
            <c:numRef>
              <c:f>ЛР1!$C$2:$C$10</c:f>
              <c:numCache>
                <c:formatCode>General</c:formatCode>
                <c:ptCount val="9"/>
                <c:pt idx="0">
                  <c:v>50</c:v>
                </c:pt>
                <c:pt idx="1">
                  <c:v>52</c:v>
                </c:pt>
                <c:pt idx="2">
                  <c:v>52</c:v>
                </c:pt>
                <c:pt idx="3">
                  <c:v>50</c:v>
                </c:pt>
                <c:pt idx="4">
                  <c:v>54</c:v>
                </c:pt>
                <c:pt idx="5">
                  <c:v>57</c:v>
                </c:pt>
                <c:pt idx="6">
                  <c:v>57</c:v>
                </c:pt>
                <c:pt idx="7">
                  <c:v>59</c:v>
                </c:pt>
                <c:pt idx="8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C-439E-B6FE-06307B36A6A9}"/>
            </c:ext>
          </c:extLst>
        </c:ser>
        <c:ser>
          <c:idx val="1"/>
          <c:order val="1"/>
          <c:tx>
            <c:v>Очікувані дані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ЛР1!$B$2:$B$10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</c:numCache>
            </c:numRef>
          </c:xVal>
          <c:yVal>
            <c:numRef>
              <c:f>ЛР1!$D$2:$D$10</c:f>
              <c:numCache>
                <c:formatCode>General</c:formatCode>
                <c:ptCount val="9"/>
                <c:pt idx="0">
                  <c:v>48.599999999999994</c:v>
                </c:pt>
                <c:pt idx="1">
                  <c:v>50.776923076923076</c:v>
                </c:pt>
                <c:pt idx="2">
                  <c:v>52.95384615384615</c:v>
                </c:pt>
                <c:pt idx="3">
                  <c:v>52.95384615384615</c:v>
                </c:pt>
                <c:pt idx="4">
                  <c:v>55.130769230769232</c:v>
                </c:pt>
                <c:pt idx="5">
                  <c:v>55.130769230769232</c:v>
                </c:pt>
                <c:pt idx="6">
                  <c:v>57.307692307692307</c:v>
                </c:pt>
                <c:pt idx="7">
                  <c:v>59.484615384615381</c:v>
                </c:pt>
                <c:pt idx="8">
                  <c:v>61.661538461538456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2C-439E-B6FE-06307B36A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477184"/>
        <c:axId val="309470944"/>
      </c:scatterChart>
      <c:valAx>
        <c:axId val="309477184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9470944"/>
        <c:crosses val="autoZero"/>
        <c:crossBetween val="midCat"/>
      </c:valAx>
      <c:valAx>
        <c:axId val="309470944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9477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272764352502741"/>
          <c:y val="0.39104619168980687"/>
          <c:w val="0.11670083681485938"/>
          <c:h val="0.20531477043630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9372703412073493E-2"/>
          <c:y val="0.16708333333333336"/>
          <c:w val="0.84284251968503932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11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ЛР3!$B$2:$B$10</c:f>
              <c:numCache>
                <c:formatCode>0.00</c:formatCode>
                <c:ptCount val="9"/>
                <c:pt idx="0">
                  <c:v>0.63</c:v>
                </c:pt>
                <c:pt idx="1">
                  <c:v>0.72</c:v>
                </c:pt>
                <c:pt idx="2">
                  <c:v>0.81</c:v>
                </c:pt>
                <c:pt idx="3">
                  <c:v>0.93</c:v>
                </c:pt>
                <c:pt idx="4">
                  <c:v>0.99</c:v>
                </c:pt>
                <c:pt idx="5">
                  <c:v>1.2</c:v>
                </c:pt>
                <c:pt idx="6">
                  <c:v>1.33</c:v>
                </c:pt>
                <c:pt idx="7">
                  <c:v>1.6</c:v>
                </c:pt>
                <c:pt idx="8">
                  <c:v>1.8</c:v>
                </c:pt>
              </c:numCache>
            </c:numRef>
          </c:xVal>
          <c:yVal>
            <c:numRef>
              <c:f>ЛР3!$C$2:$C$10</c:f>
              <c:numCache>
                <c:formatCode>0.00</c:formatCode>
                <c:ptCount val="9"/>
                <c:pt idx="0">
                  <c:v>945</c:v>
                </c:pt>
                <c:pt idx="1">
                  <c:v>1100</c:v>
                </c:pt>
                <c:pt idx="2">
                  <c:v>1356</c:v>
                </c:pt>
                <c:pt idx="3">
                  <c:v>1400</c:v>
                </c:pt>
                <c:pt idx="4">
                  <c:v>1550</c:v>
                </c:pt>
                <c:pt idx="5">
                  <c:v>1800</c:v>
                </c:pt>
                <c:pt idx="6">
                  <c:v>2152</c:v>
                </c:pt>
                <c:pt idx="7">
                  <c:v>2152</c:v>
                </c:pt>
                <c:pt idx="8">
                  <c:v>2269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6E-45D2-9279-3209BC857A40}"/>
            </c:ext>
          </c:extLst>
        </c:ser>
        <c:ser>
          <c:idx val="1"/>
          <c:order val="1"/>
          <c:tx>
            <c:v>1111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ЛР3!$B$2:$B$10</c:f>
              <c:numCache>
                <c:formatCode>0.00</c:formatCode>
                <c:ptCount val="9"/>
                <c:pt idx="0">
                  <c:v>0.63</c:v>
                </c:pt>
                <c:pt idx="1">
                  <c:v>0.72</c:v>
                </c:pt>
                <c:pt idx="2">
                  <c:v>0.81</c:v>
                </c:pt>
                <c:pt idx="3">
                  <c:v>0.93</c:v>
                </c:pt>
                <c:pt idx="4">
                  <c:v>0.99</c:v>
                </c:pt>
                <c:pt idx="5">
                  <c:v>1.2</c:v>
                </c:pt>
                <c:pt idx="6">
                  <c:v>1.33</c:v>
                </c:pt>
                <c:pt idx="7">
                  <c:v>1.6</c:v>
                </c:pt>
                <c:pt idx="8">
                  <c:v>1.8</c:v>
                </c:pt>
              </c:numCache>
            </c:numRef>
          </c:xVal>
          <c:yVal>
            <c:numRef>
              <c:f>ЛР3!$K$2:$K$10</c:f>
              <c:numCache>
                <c:formatCode>0.00</c:formatCode>
                <c:ptCount val="9"/>
                <c:pt idx="0">
                  <c:v>930.8665874090027</c:v>
                </c:pt>
                <c:pt idx="1">
                  <c:v>1113.1039521692201</c:v>
                </c:pt>
                <c:pt idx="2">
                  <c:v>1282.1306503757964</c:v>
                </c:pt>
                <c:pt idx="3">
                  <c:v>1486.9496555677902</c:v>
                </c:pt>
                <c:pt idx="4">
                  <c:v>1580.5520471280261</c:v>
                </c:pt>
                <c:pt idx="5">
                  <c:v>1861.9230846511089</c:v>
                </c:pt>
                <c:pt idx="6">
                  <c:v>2000.0612381116373</c:v>
                </c:pt>
                <c:pt idx="7">
                  <c:v>2198.8924464797437</c:v>
                </c:pt>
                <c:pt idx="8">
                  <c:v>2269.5203381078309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6E-45D2-9279-3209BC85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594992"/>
        <c:axId val="1660592592"/>
      </c:scatterChart>
      <c:valAx>
        <c:axId val="1660594992"/>
        <c:scaling>
          <c:orientation val="minMax"/>
          <c:max val="1.85"/>
          <c:min val="0.55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0592592"/>
        <c:crosses val="autoZero"/>
        <c:crossBetween val="midCat"/>
      </c:valAx>
      <c:valAx>
        <c:axId val="1660592592"/>
        <c:scaling>
          <c:orientation val="minMax"/>
          <c:max val="2400"/>
          <c:min val="9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059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607217</xdr:colOff>
      <xdr:row>2</xdr:row>
      <xdr:rowOff>157163</xdr:rowOff>
    </xdr:from>
    <xdr:to>
      <xdr:col>21</xdr:col>
      <xdr:colOff>42863</xdr:colOff>
      <xdr:row>24</xdr:row>
      <xdr:rowOff>119063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7E1F89B3-EDDF-001F-3B40-5CC41A9D5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26095</xdr:colOff>
      <xdr:row>0</xdr:row>
      <xdr:rowOff>84812</xdr:rowOff>
    </xdr:from>
    <xdr:to>
      <xdr:col>28</xdr:col>
      <xdr:colOff>569427</xdr:colOff>
      <xdr:row>30</xdr:row>
      <xdr:rowOff>134592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825F305-02D6-4211-2490-636AA8512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6120-CB05-46AC-BC44-ECB9379177B5}">
  <dimension ref="A1:J11"/>
  <sheetViews>
    <sheetView workbookViewId="0">
      <selection activeCell="D2" sqref="D2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3</v>
      </c>
      <c r="G1" t="s">
        <v>6</v>
      </c>
      <c r="J1">
        <f>SLOPE(C2:C10, B2:B10)</f>
        <v>2.1769230769230772</v>
      </c>
    </row>
    <row r="2" spans="1:10" x14ac:dyDescent="0.45">
      <c r="A2">
        <v>1</v>
      </c>
      <c r="B2">
        <v>1</v>
      </c>
      <c r="C2">
        <v>50</v>
      </c>
      <c r="D2">
        <f t="shared" ref="D2:D10" si="0">$J$2 + $J$1*B2</f>
        <v>48.599999999999994</v>
      </c>
      <c r="E2">
        <f>B2^2</f>
        <v>1</v>
      </c>
      <c r="F2">
        <f>B2*C2</f>
        <v>50</v>
      </c>
      <c r="G2">
        <f>(C2-D2)^2</f>
        <v>1.960000000000016</v>
      </c>
      <c r="J2">
        <f>INTERCEPT(C2:C10, B2:B10)</f>
        <v>46.42307692307692</v>
      </c>
    </row>
    <row r="3" spans="1:10" x14ac:dyDescent="0.45">
      <c r="A3">
        <v>2</v>
      </c>
      <c r="B3">
        <v>2</v>
      </c>
      <c r="C3">
        <v>52</v>
      </c>
      <c r="D3">
        <f t="shared" si="0"/>
        <v>50.776923076923076</v>
      </c>
      <c r="E3">
        <f t="shared" ref="E3:E10" si="1">B3^2</f>
        <v>4</v>
      </c>
      <c r="F3">
        <f t="shared" ref="F3:F10" si="2">B3*C3</f>
        <v>104</v>
      </c>
      <c r="G3">
        <f t="shared" ref="G3:G10" si="3">(C3-D3)^2</f>
        <v>1.4959171597633161</v>
      </c>
    </row>
    <row r="4" spans="1:10" x14ac:dyDescent="0.45">
      <c r="A4">
        <v>3</v>
      </c>
      <c r="B4">
        <v>3</v>
      </c>
      <c r="C4">
        <v>52</v>
      </c>
      <c r="D4">
        <f t="shared" si="0"/>
        <v>52.95384615384615</v>
      </c>
      <c r="E4">
        <f t="shared" si="1"/>
        <v>9</v>
      </c>
      <c r="F4">
        <f t="shared" si="2"/>
        <v>156</v>
      </c>
      <c r="G4">
        <f t="shared" si="3"/>
        <v>0.90982248520709408</v>
      </c>
    </row>
    <row r="5" spans="1:10" x14ac:dyDescent="0.45">
      <c r="A5">
        <v>4</v>
      </c>
      <c r="B5">
        <v>3</v>
      </c>
      <c r="C5">
        <v>50</v>
      </c>
      <c r="D5">
        <f t="shared" si="0"/>
        <v>52.95384615384615</v>
      </c>
      <c r="E5">
        <f t="shared" si="1"/>
        <v>9</v>
      </c>
      <c r="F5">
        <f t="shared" si="2"/>
        <v>150</v>
      </c>
      <c r="G5">
        <f t="shared" si="3"/>
        <v>8.725207100591696</v>
      </c>
    </row>
    <row r="6" spans="1:10" x14ac:dyDescent="0.45">
      <c r="A6">
        <v>5</v>
      </c>
      <c r="B6">
        <v>4</v>
      </c>
      <c r="C6">
        <v>54</v>
      </c>
      <c r="D6">
        <f t="shared" si="0"/>
        <v>55.130769230769232</v>
      </c>
      <c r="E6">
        <f t="shared" si="1"/>
        <v>16</v>
      </c>
      <c r="F6">
        <f t="shared" si="2"/>
        <v>216</v>
      </c>
      <c r="G6">
        <f t="shared" si="3"/>
        <v>1.2786390532544409</v>
      </c>
    </row>
    <row r="7" spans="1:10" x14ac:dyDescent="0.45">
      <c r="A7">
        <v>6</v>
      </c>
      <c r="B7">
        <v>4</v>
      </c>
      <c r="C7">
        <v>57</v>
      </c>
      <c r="D7">
        <f t="shared" si="0"/>
        <v>55.130769230769232</v>
      </c>
      <c r="E7">
        <f t="shared" si="1"/>
        <v>16</v>
      </c>
      <c r="F7">
        <f t="shared" si="2"/>
        <v>228</v>
      </c>
      <c r="G7">
        <f t="shared" si="3"/>
        <v>3.4940236686390485</v>
      </c>
    </row>
    <row r="8" spans="1:10" x14ac:dyDescent="0.45">
      <c r="A8">
        <v>7</v>
      </c>
      <c r="B8">
        <v>5</v>
      </c>
      <c r="C8">
        <v>57</v>
      </c>
      <c r="D8">
        <f t="shared" si="0"/>
        <v>57.307692307692307</v>
      </c>
      <c r="E8">
        <f t="shared" si="1"/>
        <v>25</v>
      </c>
      <c r="F8">
        <f t="shared" si="2"/>
        <v>285</v>
      </c>
      <c r="G8">
        <f t="shared" si="3"/>
        <v>9.4674556213017083E-2</v>
      </c>
    </row>
    <row r="9" spans="1:10" x14ac:dyDescent="0.45">
      <c r="A9">
        <v>8</v>
      </c>
      <c r="B9">
        <v>6</v>
      </c>
      <c r="C9">
        <v>59</v>
      </c>
      <c r="D9">
        <f t="shared" si="0"/>
        <v>59.484615384615381</v>
      </c>
      <c r="E9">
        <f t="shared" si="1"/>
        <v>36</v>
      </c>
      <c r="F9">
        <f t="shared" si="2"/>
        <v>354</v>
      </c>
      <c r="G9">
        <f t="shared" si="3"/>
        <v>0.23485207100591377</v>
      </c>
    </row>
    <row r="10" spans="1:10" x14ac:dyDescent="0.45">
      <c r="A10">
        <v>9</v>
      </c>
      <c r="B10">
        <v>7</v>
      </c>
      <c r="C10">
        <v>63</v>
      </c>
      <c r="D10">
        <f t="shared" si="0"/>
        <v>61.661538461538456</v>
      </c>
      <c r="E10">
        <f t="shared" si="1"/>
        <v>49</v>
      </c>
      <c r="F10">
        <f t="shared" si="2"/>
        <v>441</v>
      </c>
      <c r="G10">
        <f t="shared" si="3"/>
        <v>1.7914792899408443</v>
      </c>
    </row>
    <row r="11" spans="1:10" x14ac:dyDescent="0.45">
      <c r="B11">
        <f>SUM(B2:B10)</f>
        <v>35</v>
      </c>
      <c r="C11">
        <f t="shared" ref="C11:F11" si="4">SUM(C2:C10)</f>
        <v>494</v>
      </c>
      <c r="D11">
        <f t="shared" si="4"/>
        <v>494</v>
      </c>
      <c r="E11">
        <f t="shared" si="4"/>
        <v>165</v>
      </c>
      <c r="F11">
        <f t="shared" si="4"/>
        <v>1984</v>
      </c>
    </row>
  </sheetData>
  <sortState xmlns:xlrd2="http://schemas.microsoft.com/office/spreadsheetml/2017/richdata2" ref="B2:D10">
    <sortCondition ref="B2:B1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76DF-9524-4501-8B6C-7EB698F79759}">
  <dimension ref="A1:L12"/>
  <sheetViews>
    <sheetView workbookViewId="0">
      <selection activeCell="N5" sqref="N5"/>
    </sheetView>
  </sheetViews>
  <sheetFormatPr defaultRowHeight="14.25" x14ac:dyDescent="0.45"/>
  <sheetData>
    <row r="1" spans="1:12" ht="71.25" x14ac:dyDescent="0.45">
      <c r="A1" t="s">
        <v>7</v>
      </c>
      <c r="B1" s="1" t="s">
        <v>8</v>
      </c>
      <c r="C1" s="1" t="s">
        <v>9</v>
      </c>
      <c r="D1" t="s">
        <v>3</v>
      </c>
      <c r="E1" t="s">
        <v>4</v>
      </c>
      <c r="F1" t="s">
        <v>10</v>
      </c>
      <c r="G1" t="s">
        <v>11</v>
      </c>
      <c r="H1" t="s">
        <v>12</v>
      </c>
    </row>
    <row r="2" spans="1:12" x14ac:dyDescent="0.45">
      <c r="A2">
        <v>1</v>
      </c>
      <c r="B2">
        <v>2</v>
      </c>
      <c r="C2">
        <v>52</v>
      </c>
      <c r="D2">
        <f>B2*C2</f>
        <v>104</v>
      </c>
      <c r="E2">
        <f>B2^2</f>
        <v>4</v>
      </c>
      <c r="F2">
        <f>C2^2</f>
        <v>2704</v>
      </c>
      <c r="G2">
        <f>$J$3+$J$2*B2</f>
        <v>50.776923076923076</v>
      </c>
      <c r="H2">
        <f>(C2-G2)^2</f>
        <v>1.4959171597633161</v>
      </c>
      <c r="I2" t="s">
        <v>15</v>
      </c>
      <c r="J2">
        <f>SLOPE(C2:C10, B2:B10)</f>
        <v>2.1769230769230767</v>
      </c>
      <c r="K2" t="s">
        <v>22</v>
      </c>
      <c r="L2">
        <f>CORREL(B2:B10, C2:C10)</f>
        <v>0.93414094602397701</v>
      </c>
    </row>
    <row r="3" spans="1:12" x14ac:dyDescent="0.45">
      <c r="A3">
        <v>2</v>
      </c>
      <c r="B3">
        <v>4</v>
      </c>
      <c r="C3">
        <v>54</v>
      </c>
      <c r="D3">
        <f t="shared" ref="D3:D10" si="0">B3*C3</f>
        <v>216</v>
      </c>
      <c r="E3">
        <f t="shared" ref="E3:E10" si="1">B3^2</f>
        <v>16</v>
      </c>
      <c r="F3">
        <f t="shared" ref="F3:F10" si="2">C3^2</f>
        <v>2916</v>
      </c>
      <c r="G3">
        <f t="shared" ref="G3:G10" si="3">$J$3+$J$2*B3</f>
        <v>55.130769230769225</v>
      </c>
      <c r="H3">
        <f t="shared" ref="H3:H10" si="4">(C3-G3)^2</f>
        <v>1.2786390532544247</v>
      </c>
      <c r="I3" t="s">
        <v>16</v>
      </c>
      <c r="J3">
        <f>INTERCEPT(C2:C10, B2:B10)</f>
        <v>46.42307692307692</v>
      </c>
      <c r="K3" t="s">
        <v>23</v>
      </c>
      <c r="L3">
        <f>RSQ(C2:C10, B2:B10)</f>
        <v>0.87261930703857027</v>
      </c>
    </row>
    <row r="4" spans="1:12" x14ac:dyDescent="0.45">
      <c r="A4">
        <v>3</v>
      </c>
      <c r="B4">
        <v>3</v>
      </c>
      <c r="C4">
        <v>52</v>
      </c>
      <c r="D4">
        <f t="shared" si="0"/>
        <v>156</v>
      </c>
      <c r="E4">
        <f t="shared" si="1"/>
        <v>9</v>
      </c>
      <c r="F4">
        <f t="shared" si="2"/>
        <v>2704</v>
      </c>
      <c r="G4">
        <f t="shared" si="3"/>
        <v>52.95384615384615</v>
      </c>
      <c r="H4">
        <f t="shared" si="4"/>
        <v>0.90982248520709408</v>
      </c>
      <c r="K4" t="s">
        <v>24</v>
      </c>
      <c r="L4">
        <f>(L3/(1-L3))*(7/1)</f>
        <v>47.95338294414497</v>
      </c>
    </row>
    <row r="5" spans="1:12" x14ac:dyDescent="0.45">
      <c r="A5">
        <v>4</v>
      </c>
      <c r="B5">
        <v>5</v>
      </c>
      <c r="C5">
        <v>57</v>
      </c>
      <c r="D5">
        <f t="shared" si="0"/>
        <v>285</v>
      </c>
      <c r="E5">
        <f t="shared" si="1"/>
        <v>25</v>
      </c>
      <c r="F5">
        <f t="shared" si="2"/>
        <v>3249</v>
      </c>
      <c r="G5">
        <f t="shared" si="3"/>
        <v>57.307692307692307</v>
      </c>
      <c r="H5">
        <f t="shared" si="4"/>
        <v>9.4674556213017083E-2</v>
      </c>
      <c r="I5" t="s">
        <v>17</v>
      </c>
      <c r="J5">
        <f>SQRT(SUM(H2:H10)/9)</f>
        <v>1.4901385239342084</v>
      </c>
    </row>
    <row r="6" spans="1:12" x14ac:dyDescent="0.45">
      <c r="A6">
        <v>5</v>
      </c>
      <c r="B6">
        <v>7</v>
      </c>
      <c r="C6">
        <v>63</v>
      </c>
      <c r="D6">
        <f t="shared" si="0"/>
        <v>441</v>
      </c>
      <c r="E6">
        <f t="shared" si="1"/>
        <v>49</v>
      </c>
      <c r="F6">
        <f t="shared" si="2"/>
        <v>3969</v>
      </c>
      <c r="G6">
        <f t="shared" si="3"/>
        <v>61.661538461538456</v>
      </c>
      <c r="H6">
        <f t="shared" si="4"/>
        <v>1.7914792899408443</v>
      </c>
      <c r="I6" t="s">
        <v>18</v>
      </c>
      <c r="J6">
        <f>SQRT(AVERAGE(E2:E10)-AVERAGE(B2:B10)^2)</f>
        <v>1.7916128329552332</v>
      </c>
      <c r="L6" s="2">
        <f>J2*(AVERAGE(B2:B10)/AVERAGE(C2:C10))</f>
        <v>0.15423544067268763</v>
      </c>
    </row>
    <row r="7" spans="1:12" x14ac:dyDescent="0.45">
      <c r="A7">
        <v>6</v>
      </c>
      <c r="B7">
        <v>3</v>
      </c>
      <c r="C7">
        <v>50</v>
      </c>
      <c r="D7">
        <f t="shared" si="0"/>
        <v>150</v>
      </c>
      <c r="E7">
        <f t="shared" si="1"/>
        <v>9</v>
      </c>
      <c r="F7">
        <f t="shared" si="2"/>
        <v>2500</v>
      </c>
      <c r="G7">
        <f t="shared" si="3"/>
        <v>52.95384615384615</v>
      </c>
      <c r="H7">
        <f t="shared" si="4"/>
        <v>8.725207100591696</v>
      </c>
      <c r="I7" t="s">
        <v>19</v>
      </c>
      <c r="J7">
        <f>ABS(J3) * SQRT(9-2)/J5</f>
        <v>82.424495884186641</v>
      </c>
    </row>
    <row r="8" spans="1:12" x14ac:dyDescent="0.45">
      <c r="A8">
        <v>7</v>
      </c>
      <c r="B8">
        <v>6</v>
      </c>
      <c r="C8">
        <v>59</v>
      </c>
      <c r="D8">
        <f t="shared" si="0"/>
        <v>354</v>
      </c>
      <c r="E8">
        <f t="shared" si="1"/>
        <v>36</v>
      </c>
      <c r="F8">
        <f t="shared" si="2"/>
        <v>3481</v>
      </c>
      <c r="G8">
        <f t="shared" si="3"/>
        <v>59.484615384615381</v>
      </c>
      <c r="H8">
        <f t="shared" si="4"/>
        <v>0.23485207100591377</v>
      </c>
      <c r="I8" t="s">
        <v>20</v>
      </c>
      <c r="J8">
        <f>ABS(J2) * SQRT(9-2)/(J5/J6)</f>
        <v>6.924838116818691</v>
      </c>
    </row>
    <row r="9" spans="1:12" x14ac:dyDescent="0.45">
      <c r="A9">
        <v>8</v>
      </c>
      <c r="B9">
        <v>4</v>
      </c>
      <c r="C9">
        <v>57</v>
      </c>
      <c r="D9">
        <f t="shared" si="0"/>
        <v>228</v>
      </c>
      <c r="E9">
        <f t="shared" si="1"/>
        <v>16</v>
      </c>
      <c r="F9">
        <f t="shared" si="2"/>
        <v>3249</v>
      </c>
      <c r="G9">
        <f t="shared" si="3"/>
        <v>55.130769230769225</v>
      </c>
      <c r="H9">
        <f t="shared" si="4"/>
        <v>3.4940236686390751</v>
      </c>
      <c r="I9" t="s">
        <v>21</v>
      </c>
      <c r="J9">
        <v>7</v>
      </c>
    </row>
    <row r="10" spans="1:12" x14ac:dyDescent="0.45">
      <c r="A10">
        <v>9</v>
      </c>
      <c r="B10">
        <v>1</v>
      </c>
      <c r="C10">
        <v>50</v>
      </c>
      <c r="D10">
        <f t="shared" si="0"/>
        <v>50</v>
      </c>
      <c r="E10">
        <f t="shared" si="1"/>
        <v>1</v>
      </c>
      <c r="F10">
        <f t="shared" si="2"/>
        <v>2500</v>
      </c>
      <c r="G10">
        <f t="shared" si="3"/>
        <v>48.599999999999994</v>
      </c>
      <c r="H10">
        <f t="shared" si="4"/>
        <v>1.960000000000016</v>
      </c>
    </row>
    <row r="11" spans="1:12" x14ac:dyDescent="0.45">
      <c r="A11" t="s">
        <v>13</v>
      </c>
      <c r="B11">
        <f>SUM(B2:B10)</f>
        <v>35</v>
      </c>
      <c r="C11">
        <f t="shared" ref="C11:F11" si="5">SUM(C2:C10)</f>
        <v>494</v>
      </c>
      <c r="D11">
        <f t="shared" si="5"/>
        <v>1984</v>
      </c>
      <c r="E11">
        <f t="shared" si="5"/>
        <v>165</v>
      </c>
      <c r="F11">
        <f t="shared" si="5"/>
        <v>27272</v>
      </c>
    </row>
    <row r="12" spans="1:12" x14ac:dyDescent="0.45">
      <c r="A12" t="s">
        <v>14</v>
      </c>
      <c r="B12">
        <f>AVERAGEA(B2:B10)</f>
        <v>3.8888888888888888</v>
      </c>
      <c r="C12">
        <f t="shared" ref="C12:F12" si="6">AVERAGEA(C2:C10)</f>
        <v>54.888888888888886</v>
      </c>
      <c r="D12">
        <f t="shared" si="6"/>
        <v>220.44444444444446</v>
      </c>
      <c r="E12">
        <f t="shared" si="6"/>
        <v>18.333333333333332</v>
      </c>
      <c r="F12">
        <f t="shared" si="6"/>
        <v>3030.2222222222222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FC95-FB62-454A-8DFD-E6026B23C1F3}">
  <dimension ref="A1:M28"/>
  <sheetViews>
    <sheetView tabSelected="1" topLeftCell="H1" zoomScale="69" workbookViewId="0">
      <selection activeCell="L29" sqref="L29"/>
    </sheetView>
  </sheetViews>
  <sheetFormatPr defaultRowHeight="14.25" x14ac:dyDescent="0.45"/>
  <cols>
    <col min="1" max="1" width="9.1328125" bestFit="1" customWidth="1"/>
    <col min="2" max="2" width="11.19921875" bestFit="1" customWidth="1"/>
    <col min="3" max="9" width="9.1328125" bestFit="1" customWidth="1"/>
    <col min="10" max="10" width="11.265625" bestFit="1" customWidth="1"/>
    <col min="11" max="12" width="9.1328125" bestFit="1" customWidth="1"/>
    <col min="13" max="13" width="11.19921875" bestFit="1" customWidth="1"/>
  </cols>
  <sheetData>
    <row r="1" spans="1:13" ht="60" x14ac:dyDescent="0.45">
      <c r="A1" s="3" t="s">
        <v>7</v>
      </c>
      <c r="B1" s="3" t="s">
        <v>49</v>
      </c>
      <c r="C1" s="3" t="s">
        <v>50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11</v>
      </c>
      <c r="L1" s="4" t="s">
        <v>32</v>
      </c>
      <c r="M1" s="4" t="s">
        <v>33</v>
      </c>
    </row>
    <row r="2" spans="1:13" ht="15.75" x14ac:dyDescent="0.5">
      <c r="A2" s="5">
        <v>1</v>
      </c>
      <c r="B2" s="6">
        <v>0.63</v>
      </c>
      <c r="C2" s="6">
        <v>945</v>
      </c>
      <c r="D2" s="7">
        <f>POWER(B2,2)</f>
        <v>0.39690000000000003</v>
      </c>
      <c r="E2" s="7">
        <f>POWER(B2,3)</f>
        <v>0.25004700000000002</v>
      </c>
      <c r="F2" s="7">
        <f>POWER(B2,4)</f>
        <v>0.15752961000000001</v>
      </c>
      <c r="G2" s="7">
        <f>B2*C2</f>
        <v>595.35</v>
      </c>
      <c r="H2" s="7">
        <f>D2*C2</f>
        <v>375.07050000000004</v>
      </c>
      <c r="I2" s="7">
        <f>C2-$C$13</f>
        <v>-691</v>
      </c>
      <c r="J2" s="7">
        <f>POWER(C2-$C$13,2)</f>
        <v>477481</v>
      </c>
      <c r="K2" s="7">
        <f>$E$20+B2*$E$21+B2*B2*$E$22</f>
        <v>930.8665874090027</v>
      </c>
      <c r="L2" s="7">
        <f>K2-$C$13</f>
        <v>-705.1334125909973</v>
      </c>
      <c r="M2" s="7">
        <f>POWER(K2-$C$13,2)</f>
        <v>497213.12955222564</v>
      </c>
    </row>
    <row r="3" spans="1:13" ht="15.75" x14ac:dyDescent="0.5">
      <c r="A3" s="5">
        <v>2</v>
      </c>
      <c r="B3" s="6">
        <v>0.72</v>
      </c>
      <c r="C3" s="6">
        <v>1100</v>
      </c>
      <c r="D3" s="7">
        <f t="shared" ref="D3:D11" si="0">POWER(B3,2)</f>
        <v>0.51839999999999997</v>
      </c>
      <c r="E3" s="7">
        <f t="shared" ref="E3:E11" si="1">POWER(B3,3)</f>
        <v>0.37324799999999997</v>
      </c>
      <c r="F3" s="7">
        <f t="shared" ref="F3:F11" si="2">POWER(B3,4)</f>
        <v>0.26873855999999996</v>
      </c>
      <c r="G3" s="7">
        <f t="shared" ref="G3:G11" si="3">B3*C3</f>
        <v>792</v>
      </c>
      <c r="H3" s="7">
        <f t="shared" ref="H3:H11" si="4">D3*C3</f>
        <v>570.24</v>
      </c>
      <c r="I3" s="7">
        <f t="shared" ref="I3:I11" si="5">C3-$C$13</f>
        <v>-536</v>
      </c>
      <c r="J3" s="7">
        <f t="shared" ref="J3:J11" si="6">POWER(C3-$C$13,2)</f>
        <v>287296</v>
      </c>
      <c r="K3" s="7">
        <f t="shared" ref="K3:K11" si="7">$E$20+B3*$E$21+B3*B3*$E$22</f>
        <v>1113.1039521692201</v>
      </c>
      <c r="L3" s="7">
        <f t="shared" ref="L3:L11" si="8">K3-$C$13</f>
        <v>-522.89604783077993</v>
      </c>
      <c r="M3" s="7">
        <f t="shared" ref="M3:M11" si="9">POWER(K3-$C$13,2)</f>
        <v>273420.27683704928</v>
      </c>
    </row>
    <row r="4" spans="1:13" ht="15.75" x14ac:dyDescent="0.5">
      <c r="A4" s="5">
        <v>3</v>
      </c>
      <c r="B4" s="6">
        <v>0.81</v>
      </c>
      <c r="C4" s="6">
        <v>1356</v>
      </c>
      <c r="D4" s="7">
        <f t="shared" si="0"/>
        <v>0.65610000000000013</v>
      </c>
      <c r="E4" s="7">
        <f t="shared" si="1"/>
        <v>0.53144100000000016</v>
      </c>
      <c r="F4" s="7">
        <f t="shared" si="2"/>
        <v>0.43046721000000016</v>
      </c>
      <c r="G4" s="7">
        <f t="shared" si="3"/>
        <v>1098.3600000000001</v>
      </c>
      <c r="H4" s="7">
        <f t="shared" si="4"/>
        <v>889.67160000000013</v>
      </c>
      <c r="I4" s="7">
        <f t="shared" si="5"/>
        <v>-280</v>
      </c>
      <c r="J4" s="7">
        <f t="shared" si="6"/>
        <v>78400</v>
      </c>
      <c r="K4" s="7">
        <f t="shared" si="7"/>
        <v>1282.1306503757964</v>
      </c>
      <c r="L4" s="7">
        <f t="shared" si="8"/>
        <v>-353.86934962420355</v>
      </c>
      <c r="M4" s="7">
        <f t="shared" si="9"/>
        <v>125223.51660345681</v>
      </c>
    </row>
    <row r="5" spans="1:13" ht="15.75" x14ac:dyDescent="0.5">
      <c r="A5" s="5">
        <v>4</v>
      </c>
      <c r="B5" s="6">
        <v>0.93</v>
      </c>
      <c r="C5" s="6">
        <v>1400</v>
      </c>
      <c r="D5" s="7">
        <f t="shared" si="0"/>
        <v>0.86490000000000011</v>
      </c>
      <c r="E5" s="7">
        <f t="shared" si="1"/>
        <v>0.8043570000000001</v>
      </c>
      <c r="F5" s="7">
        <f t="shared" si="2"/>
        <v>0.74805201000000021</v>
      </c>
      <c r="G5" s="7">
        <f t="shared" si="3"/>
        <v>1302</v>
      </c>
      <c r="H5" s="7">
        <f t="shared" si="4"/>
        <v>1210.8600000000001</v>
      </c>
      <c r="I5" s="7">
        <f t="shared" si="5"/>
        <v>-236</v>
      </c>
      <c r="J5" s="7">
        <f t="shared" si="6"/>
        <v>55696</v>
      </c>
      <c r="K5" s="7">
        <f t="shared" si="7"/>
        <v>1486.9496555677902</v>
      </c>
      <c r="L5" s="7">
        <f t="shared" si="8"/>
        <v>-149.05034443220984</v>
      </c>
      <c r="M5" s="7">
        <f t="shared" si="9"/>
        <v>22216.005175360388</v>
      </c>
    </row>
    <row r="6" spans="1:13" ht="15.75" x14ac:dyDescent="0.5">
      <c r="A6" s="5">
        <v>5</v>
      </c>
      <c r="B6" s="6">
        <v>0.99</v>
      </c>
      <c r="C6" s="6">
        <v>1550</v>
      </c>
      <c r="D6" s="7">
        <f t="shared" si="0"/>
        <v>0.98009999999999997</v>
      </c>
      <c r="E6" s="7">
        <f t="shared" si="1"/>
        <v>0.97029899999999991</v>
      </c>
      <c r="F6" s="7">
        <f t="shared" si="2"/>
        <v>0.96059600999999994</v>
      </c>
      <c r="G6" s="7">
        <f t="shared" si="3"/>
        <v>1534.5</v>
      </c>
      <c r="H6" s="7">
        <f t="shared" si="4"/>
        <v>1519.155</v>
      </c>
      <c r="I6" s="7">
        <f t="shared" si="5"/>
        <v>-86</v>
      </c>
      <c r="J6" s="7">
        <f t="shared" si="6"/>
        <v>7396</v>
      </c>
      <c r="K6" s="7">
        <f t="shared" si="7"/>
        <v>1580.5520471280261</v>
      </c>
      <c r="L6" s="7">
        <f t="shared" si="8"/>
        <v>-55.447952871973939</v>
      </c>
      <c r="M6" s="7">
        <f t="shared" si="9"/>
        <v>3074.4754776926429</v>
      </c>
    </row>
    <row r="7" spans="1:13" ht="15.75" x14ac:dyDescent="0.5">
      <c r="A7" s="5">
        <v>6</v>
      </c>
      <c r="B7" s="6">
        <v>1.2</v>
      </c>
      <c r="C7" s="6">
        <v>1800</v>
      </c>
      <c r="D7" s="7">
        <f t="shared" si="0"/>
        <v>1.44</v>
      </c>
      <c r="E7" s="7">
        <f t="shared" si="1"/>
        <v>1.728</v>
      </c>
      <c r="F7" s="7">
        <f t="shared" si="2"/>
        <v>2.0735999999999999</v>
      </c>
      <c r="G7" s="7">
        <f t="shared" si="3"/>
        <v>2160</v>
      </c>
      <c r="H7" s="7">
        <f t="shared" si="4"/>
        <v>2592</v>
      </c>
      <c r="I7" s="7">
        <f t="shared" si="5"/>
        <v>164</v>
      </c>
      <c r="J7" s="7">
        <f t="shared" si="6"/>
        <v>26896</v>
      </c>
      <c r="K7" s="7">
        <f t="shared" si="7"/>
        <v>1861.9230846511089</v>
      </c>
      <c r="L7" s="7">
        <f t="shared" si="8"/>
        <v>225.92308465110887</v>
      </c>
      <c r="M7" s="7">
        <f t="shared" si="9"/>
        <v>51041.240178272099</v>
      </c>
    </row>
    <row r="8" spans="1:13" ht="15.75" x14ac:dyDescent="0.5">
      <c r="A8" s="5">
        <v>7</v>
      </c>
      <c r="B8" s="6">
        <v>1.33</v>
      </c>
      <c r="C8" s="6">
        <v>2152</v>
      </c>
      <c r="D8" s="7">
        <f t="shared" si="0"/>
        <v>1.7689000000000001</v>
      </c>
      <c r="E8" s="7">
        <f t="shared" si="1"/>
        <v>2.3526370000000001</v>
      </c>
      <c r="F8" s="7">
        <f t="shared" si="2"/>
        <v>3.1290072100000006</v>
      </c>
      <c r="G8" s="7">
        <f t="shared" si="3"/>
        <v>2862.1600000000003</v>
      </c>
      <c r="H8" s="7">
        <f t="shared" si="4"/>
        <v>3806.6728000000003</v>
      </c>
      <c r="I8" s="7">
        <f t="shared" si="5"/>
        <v>516</v>
      </c>
      <c r="J8" s="7">
        <f t="shared" si="6"/>
        <v>266256</v>
      </c>
      <c r="K8" s="7">
        <f t="shared" si="7"/>
        <v>2000.0612381116373</v>
      </c>
      <c r="L8" s="7">
        <f t="shared" si="8"/>
        <v>364.06123811163729</v>
      </c>
      <c r="M8" s="7">
        <f t="shared" si="9"/>
        <v>132540.58509537828</v>
      </c>
    </row>
    <row r="9" spans="1:13" ht="15.75" x14ac:dyDescent="0.5">
      <c r="A9" s="5">
        <v>8</v>
      </c>
      <c r="B9" s="6">
        <v>1.6</v>
      </c>
      <c r="C9" s="6">
        <v>2152</v>
      </c>
      <c r="D9" s="7">
        <f t="shared" si="0"/>
        <v>2.5600000000000005</v>
      </c>
      <c r="E9" s="7">
        <f t="shared" si="1"/>
        <v>4.096000000000001</v>
      </c>
      <c r="F9" s="7">
        <f t="shared" si="2"/>
        <v>6.553600000000003</v>
      </c>
      <c r="G9" s="7">
        <f t="shared" si="3"/>
        <v>3443.2000000000003</v>
      </c>
      <c r="H9" s="7">
        <f t="shared" si="4"/>
        <v>5509.1200000000008</v>
      </c>
      <c r="I9" s="7">
        <f t="shared" si="5"/>
        <v>516</v>
      </c>
      <c r="J9" s="7">
        <f t="shared" si="6"/>
        <v>266256</v>
      </c>
      <c r="K9" s="7">
        <f t="shared" si="7"/>
        <v>2198.8924464797437</v>
      </c>
      <c r="L9" s="7">
        <f t="shared" si="8"/>
        <v>562.89244647974374</v>
      </c>
      <c r="M9" s="7">
        <f t="shared" si="9"/>
        <v>316847.90630395117</v>
      </c>
    </row>
    <row r="10" spans="1:13" ht="15.75" x14ac:dyDescent="0.5">
      <c r="A10" s="5">
        <v>9</v>
      </c>
      <c r="B10" s="6">
        <v>1.8</v>
      </c>
      <c r="C10" s="6">
        <v>2269</v>
      </c>
      <c r="D10" s="7">
        <f t="shared" si="0"/>
        <v>3.24</v>
      </c>
      <c r="E10" s="7">
        <f t="shared" si="1"/>
        <v>5.8320000000000007</v>
      </c>
      <c r="F10" s="7">
        <f t="shared" si="2"/>
        <v>10.497600000000002</v>
      </c>
      <c r="G10" s="7">
        <f t="shared" si="3"/>
        <v>4084.2000000000003</v>
      </c>
      <c r="H10" s="7">
        <f t="shared" si="4"/>
        <v>7351.56</v>
      </c>
      <c r="I10" s="7">
        <f t="shared" si="5"/>
        <v>633</v>
      </c>
      <c r="J10" s="7">
        <f t="shared" si="6"/>
        <v>400689</v>
      </c>
      <c r="K10" s="7">
        <f t="shared" si="7"/>
        <v>2269.5203381078309</v>
      </c>
      <c r="L10" s="7">
        <f t="shared" si="8"/>
        <v>633.52033810783087</v>
      </c>
      <c r="M10" s="7">
        <f t="shared" si="9"/>
        <v>401348.01879626035</v>
      </c>
    </row>
    <row r="11" spans="1:13" ht="15.75" x14ac:dyDescent="0.5">
      <c r="A11" s="5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.75" x14ac:dyDescent="0.5">
      <c r="A12" s="8" t="s">
        <v>34</v>
      </c>
      <c r="B12" s="7">
        <f>SUM(B2:B11)</f>
        <v>10.010000000000002</v>
      </c>
      <c r="C12" s="7">
        <f t="shared" ref="C12:M12" si="10">SUM(C2:C11)</f>
        <v>14724</v>
      </c>
      <c r="D12" s="7">
        <f t="shared" si="10"/>
        <v>12.425300000000002</v>
      </c>
      <c r="E12" s="7">
        <f t="shared" si="10"/>
        <v>16.938029</v>
      </c>
      <c r="F12" s="7">
        <f t="shared" si="10"/>
        <v>24.819190610000007</v>
      </c>
      <c r="G12" s="7">
        <f t="shared" si="10"/>
        <v>17871.77</v>
      </c>
      <c r="H12" s="7">
        <f t="shared" si="10"/>
        <v>23824.349900000005</v>
      </c>
      <c r="I12" s="7">
        <f t="shared" si="10"/>
        <v>0</v>
      </c>
      <c r="J12" s="7">
        <f t="shared" si="10"/>
        <v>1866366</v>
      </c>
      <c r="K12" s="7">
        <f t="shared" si="10"/>
        <v>14724.000000000156</v>
      </c>
      <c r="L12" s="7">
        <f t="shared" si="10"/>
        <v>1.5620571502950042E-10</v>
      </c>
      <c r="M12" s="7">
        <f t="shared" si="10"/>
        <v>1822925.1540196468</v>
      </c>
    </row>
    <row r="13" spans="1:13" ht="15.75" x14ac:dyDescent="0.5">
      <c r="A13" s="8" t="s">
        <v>35</v>
      </c>
      <c r="B13" s="7"/>
      <c r="C13" s="7">
        <f>C12/$A$10</f>
        <v>1636</v>
      </c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4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45">
      <c r="A15" s="11" t="s">
        <v>36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9"/>
    </row>
    <row r="16" spans="1:13" x14ac:dyDescent="0.45">
      <c r="A16" s="12">
        <f>$C$12</f>
        <v>14724</v>
      </c>
      <c r="B16" s="9">
        <f>$A$10</f>
        <v>9</v>
      </c>
      <c r="C16" s="12">
        <f>$B$12</f>
        <v>10.010000000000002</v>
      </c>
      <c r="D16" s="12">
        <f>$D$12</f>
        <v>12.425300000000002</v>
      </c>
      <c r="E16" s="9"/>
      <c r="F16" s="12">
        <f>$C$12</f>
        <v>14724</v>
      </c>
      <c r="G16" s="12">
        <f>$B$12</f>
        <v>10.010000000000002</v>
      </c>
      <c r="H16" s="12">
        <f>$D$12</f>
        <v>12.425300000000002</v>
      </c>
      <c r="I16" s="9"/>
      <c r="J16" s="9">
        <f>$A$10</f>
        <v>9</v>
      </c>
      <c r="K16" s="12">
        <f>$C$12</f>
        <v>14724</v>
      </c>
      <c r="L16" s="12">
        <f>$D$12</f>
        <v>12.425300000000002</v>
      </c>
      <c r="M16" s="9"/>
    </row>
    <row r="17" spans="1:13" x14ac:dyDescent="0.45">
      <c r="A17" s="12">
        <f>$G$12</f>
        <v>17871.77</v>
      </c>
      <c r="B17" s="12">
        <f>$B$12</f>
        <v>10.010000000000002</v>
      </c>
      <c r="C17" s="12">
        <f>$D$12</f>
        <v>12.425300000000002</v>
      </c>
      <c r="D17" s="12">
        <f>$E$12</f>
        <v>16.938029</v>
      </c>
      <c r="E17" s="9"/>
      <c r="F17" s="12">
        <f>$G$12</f>
        <v>17871.77</v>
      </c>
      <c r="G17" s="12">
        <f>$D$12</f>
        <v>12.425300000000002</v>
      </c>
      <c r="H17" s="12">
        <f>$E$12</f>
        <v>16.938029</v>
      </c>
      <c r="I17" s="9"/>
      <c r="J17" s="12">
        <f>$B$12</f>
        <v>10.010000000000002</v>
      </c>
      <c r="K17" s="12">
        <f>$G$12</f>
        <v>17871.77</v>
      </c>
      <c r="L17" s="12">
        <f>$E$12</f>
        <v>16.938029</v>
      </c>
      <c r="M17" s="9"/>
    </row>
    <row r="18" spans="1:13" x14ac:dyDescent="0.45">
      <c r="A18" s="12">
        <f>$H$12</f>
        <v>23824.349900000005</v>
      </c>
      <c r="B18" s="12">
        <f>$D$12</f>
        <v>12.425300000000002</v>
      </c>
      <c r="C18" s="12">
        <f>$E$12</f>
        <v>16.938029</v>
      </c>
      <c r="D18" s="12">
        <f>$F$12</f>
        <v>24.819190610000007</v>
      </c>
      <c r="E18" s="9"/>
      <c r="F18" s="12">
        <f>$H$12</f>
        <v>23824.349900000005</v>
      </c>
      <c r="G18" s="12">
        <f>$E$12</f>
        <v>16.938029</v>
      </c>
      <c r="H18" s="12">
        <f>$F$12</f>
        <v>24.819190610000007</v>
      </c>
      <c r="I18" s="9"/>
      <c r="J18" s="12">
        <f>$D$12</f>
        <v>12.425300000000002</v>
      </c>
      <c r="K18" s="12">
        <f>$H$12</f>
        <v>23824.349900000005</v>
      </c>
      <c r="L18" s="12">
        <f>$F$12</f>
        <v>24.819190610000007</v>
      </c>
      <c r="M18" s="10"/>
    </row>
    <row r="19" spans="1:13" x14ac:dyDescent="0.4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0"/>
    </row>
    <row r="20" spans="1:13" x14ac:dyDescent="0.45">
      <c r="A20" s="9" t="s">
        <v>37</v>
      </c>
      <c r="B20" s="9">
        <f>MDETERM(B16:D18)</f>
        <v>1.6090080596641012</v>
      </c>
      <c r="C20" s="9"/>
      <c r="D20" s="9" t="s">
        <v>38</v>
      </c>
      <c r="E20" s="9">
        <f>B21/B20</f>
        <v>-714.69362941446605</v>
      </c>
      <c r="F20" s="9"/>
      <c r="G20" s="9"/>
      <c r="H20" s="9"/>
      <c r="I20" s="9"/>
      <c r="J20" s="9"/>
      <c r="K20" s="9"/>
      <c r="L20" s="9"/>
      <c r="M20" s="10"/>
    </row>
    <row r="21" spans="1:13" x14ac:dyDescent="0.45">
      <c r="A21" s="9" t="s">
        <v>39</v>
      </c>
      <c r="B21" s="12">
        <f>MDETERM(F16:H18)</f>
        <v>-1149.9478099184641</v>
      </c>
      <c r="C21" s="9"/>
      <c r="D21" s="9" t="s">
        <v>40</v>
      </c>
      <c r="E21" s="9">
        <f>B22/B20</f>
        <v>3125.7484879169415</v>
      </c>
      <c r="F21" s="9"/>
      <c r="G21" s="9"/>
      <c r="H21" s="9"/>
      <c r="I21" s="9"/>
      <c r="J21" s="9"/>
      <c r="K21" s="9"/>
      <c r="L21" s="9"/>
      <c r="M21" s="10"/>
    </row>
    <row r="22" spans="1:13" x14ac:dyDescent="0.45">
      <c r="A22" s="9" t="s">
        <v>41</v>
      </c>
      <c r="B22" s="9">
        <f>MDETERM(J16:L18)</f>
        <v>5029.3545095412364</v>
      </c>
      <c r="C22" s="9"/>
      <c r="D22" s="9" t="s">
        <v>42</v>
      </c>
      <c r="E22" s="9">
        <f>B23/B20</f>
        <v>-815.47324405191284</v>
      </c>
      <c r="F22" s="9"/>
      <c r="G22" s="9"/>
      <c r="H22" s="9"/>
      <c r="I22" s="9"/>
      <c r="J22" s="9"/>
      <c r="K22" s="9"/>
      <c r="L22" s="9"/>
      <c r="M22" s="10"/>
    </row>
    <row r="23" spans="1:13" x14ac:dyDescent="0.45">
      <c r="A23" s="9" t="s">
        <v>43</v>
      </c>
      <c r="B23" s="9">
        <f>MDETERM(A16:C18)</f>
        <v>-1312.1030221199583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10"/>
    </row>
    <row r="24" spans="1:13" x14ac:dyDescent="0.45">
      <c r="A24" s="11" t="s">
        <v>44</v>
      </c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</row>
    <row r="25" spans="1:13" x14ac:dyDescent="0.45">
      <c r="A25" s="9" t="s">
        <v>45</v>
      </c>
      <c r="B25" s="9">
        <f>SQRT(M12/J12)</f>
        <v>0.98829366545865538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10"/>
    </row>
    <row r="26" spans="1:13" x14ac:dyDescent="0.45">
      <c r="A26" s="13" t="s">
        <v>46</v>
      </c>
      <c r="B26" s="13"/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</row>
    <row r="27" spans="1:13" x14ac:dyDescent="0.45">
      <c r="A27" s="9" t="s">
        <v>47</v>
      </c>
      <c r="B27" s="14">
        <f>(1-B25*B25)/SQRT(A10-1)</f>
        <v>8.2291781925914204E-3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10"/>
    </row>
    <row r="28" spans="1:13" x14ac:dyDescent="0.45">
      <c r="A28" s="9" t="s">
        <v>48</v>
      </c>
      <c r="B28" s="9">
        <f>B25/B27</f>
        <v>120.09627721373177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10"/>
    </row>
  </sheetData>
  <mergeCells count="3">
    <mergeCell ref="A15:L15"/>
    <mergeCell ref="A24:B24"/>
    <mergeCell ref="A26:B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ЛР1</vt:lpstr>
      <vt:lpstr>ЛР2</vt:lpstr>
      <vt:lpstr>ЛР3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Троцький</dc:creator>
  <cp:lastModifiedBy>Константин Троцький</cp:lastModifiedBy>
  <dcterms:created xsi:type="dcterms:W3CDTF">2026-02-05T09:46:23Z</dcterms:created>
  <dcterms:modified xsi:type="dcterms:W3CDTF">2026-02-13T06:02:46Z</dcterms:modified>
</cp:coreProperties>
</file>